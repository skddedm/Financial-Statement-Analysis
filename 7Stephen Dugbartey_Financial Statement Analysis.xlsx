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2"/>
  </bookViews>
  <sheets>
    <sheet name="Cover Page" sheetId="2" r:id="rId1"/>
    <sheet name="Part 1" sheetId="1" r:id="rId2"/>
    <sheet name="Part 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Hp</author>
  </authors>
  <commentList>
    <comment ref="C11" authorId="0">
      <text>
        <r>
          <rPr>
            <sz val="9"/>
            <rFont val="Tahoma"/>
            <charset val="134"/>
          </rPr>
          <t>Stephen: Click sections here to take you directly to worksheet page</t>
        </r>
      </text>
    </comment>
  </commentList>
</comments>
</file>

<file path=xl/sharedStrings.xml><?xml version="1.0" encoding="utf-8"?>
<sst xmlns="http://schemas.openxmlformats.org/spreadsheetml/2006/main" count="127" uniqueCount="87">
  <si>
    <t>Stephen Dornu Dugbartey</t>
  </si>
  <si>
    <t>Edmonton, Alberta - Canada | +1 (825) 777-0501 | ddstephen07@gmail.com</t>
  </si>
  <si>
    <t>Project: Financial Statement Analysis</t>
  </si>
  <si>
    <t>Sections:</t>
  </si>
  <si>
    <t>Part 1: Horizontal and Vertical Analysis</t>
  </si>
  <si>
    <t>Part 2: Ratio Analysis</t>
  </si>
  <si>
    <t>References:</t>
  </si>
  <si>
    <t>Albrecht and Al. (2019). Fraud Examination. 6th Ed. South-Western. ISBN: 978-1-337-61967-7 pg 191, 194, 195</t>
  </si>
  <si>
    <t>ABC COMPANY</t>
  </si>
  <si>
    <t xml:space="preserve">BALANCE SHEET </t>
  </si>
  <si>
    <t>AS OF DECEMBER 31, 2018</t>
  </si>
  <si>
    <t>Vertical Analysis of the Balance Sheet</t>
  </si>
  <si>
    <t>Redflags</t>
  </si>
  <si>
    <t>Comments on Redflags</t>
  </si>
  <si>
    <t>ASSETS</t>
  </si>
  <si>
    <t>% Change</t>
  </si>
  <si>
    <t xml:space="preserve">% Change </t>
  </si>
  <si>
    <t>Current assets</t>
  </si>
  <si>
    <t>$</t>
  </si>
  <si>
    <t xml:space="preserve">Six (1 to 6) red flags have been identified with the vertical analysis of the ABC Company Balance Sheet. Since the current assets makes 75% in 2018, 73% in 2017 and 67% in 2016 of the total assets of the balance sheet, our interest as a team was drawn to the highest contributors  to the current assets as red flags for enquiry. Cash (1), account receivable (2), inventory (3), and prepaid expenses (4) have to be broken down and understood. 
For cash: locations of cash between bank deposits, and cash held at the premises has to be understood; for account receivable: the ages of receivable and their exposed amounts has to be understood; for inventory: their availability, condition, ages and amounts held with the ages has to be understood; prepaid expenses: reasons for committing between 9% and 12% of total assets in line with company policy and approvals has to be understood. 
The accounts payable and accrued liabilities are the highest contributors to the current liabilities of the balance sheet. They create concern for further enquiry. The classes of the liabilities, their ageing should be understood in line with company policy and agreement with vendors. </t>
  </si>
  <si>
    <t>Cash</t>
  </si>
  <si>
    <t>Accounts receivable</t>
  </si>
  <si>
    <t>Inventory</t>
  </si>
  <si>
    <t>Prepaid expenses</t>
  </si>
  <si>
    <t>Total current assets</t>
  </si>
  <si>
    <t>Property, plant, and equipment</t>
  </si>
  <si>
    <t>Accumulated depreciation</t>
  </si>
  <si>
    <t>Total Assets</t>
  </si>
  <si>
    <t>LIABILITIES</t>
  </si>
  <si>
    <t>Current liabilities</t>
  </si>
  <si>
    <t>Accounts payable</t>
  </si>
  <si>
    <t>Accrued liabilities</t>
  </si>
  <si>
    <t>Income taxes payable</t>
  </si>
  <si>
    <t>Current portion of long-term debt</t>
  </si>
  <si>
    <t>Total current liabilities</t>
  </si>
  <si>
    <t>Long-term liabilities</t>
  </si>
  <si>
    <t>Long-term debt</t>
  </si>
  <si>
    <t>Total Liabilities</t>
  </si>
  <si>
    <t>STOCKHOLDERS' EQUITY</t>
  </si>
  <si>
    <t>Common stock</t>
  </si>
  <si>
    <t>Additional paid-in capital</t>
  </si>
  <si>
    <t>Retained earnings</t>
  </si>
  <si>
    <t>Total stockholders' equity</t>
  </si>
  <si>
    <t>Total Liabilities and Stockholders Equity</t>
  </si>
  <si>
    <t>INCOME STATEMENT</t>
  </si>
  <si>
    <t>FOR THE PERIOD ENDED DECEMBER 31, 2018</t>
  </si>
  <si>
    <t>Horizontal Analysis of the Income Statement</t>
  </si>
  <si>
    <t>Amount Change</t>
  </si>
  <si>
    <t>Sales</t>
  </si>
  <si>
    <t xml:space="preserve">Five red flags (1 to 5), have been identified with the horizontal analysis of ABC Company income statement to be further queried or investigated if evidence shows same. The advertising (1), legal (2)  and miscellaneous (3) expenses have sky rocketed from 20%, 5% and 7% of gross sales value respectively in 2017 to 999%, 69% and 192% of gross sales value respectively in 2018. The reasons, approvals and source documents should be required. 
The salaries and wages (4) have reduced tremendously from 16% to 4% of gross sales value. Clarity should be sought from management.        
                                                                                                                                                                                                  The sum of the total expenses (5) in the income statement published by management of ABC Company was incorrect; published as $430,690 instead of $930,690. Therefore, total expenses value was underestimated by $500,000, hence overstating the net income by $500,000.                                                                                                                    </t>
  </si>
  <si>
    <t>Cost of goods sold</t>
  </si>
  <si>
    <t>Gross Profit</t>
  </si>
  <si>
    <t>EXPENSES</t>
  </si>
  <si>
    <t>Advertising</t>
  </si>
  <si>
    <t>Depreciation</t>
  </si>
  <si>
    <t>Bad debts</t>
  </si>
  <si>
    <t xml:space="preserve">Legal </t>
  </si>
  <si>
    <t>Miscellaneous</t>
  </si>
  <si>
    <t>Rent</t>
  </si>
  <si>
    <t>Repairs and maintenance</t>
  </si>
  <si>
    <t>Salaries and wages</t>
  </si>
  <si>
    <t>Utilities</t>
  </si>
  <si>
    <t>Total Expenses</t>
  </si>
  <si>
    <t>Net Income before income tax</t>
  </si>
  <si>
    <t>Income tax expenses</t>
  </si>
  <si>
    <t>NET INCOME</t>
  </si>
  <si>
    <t>Number of shares of stock outstanding</t>
  </si>
  <si>
    <t>RATIO ANALYSIS</t>
  </si>
  <si>
    <t>DEMCEBER 31, 2018</t>
  </si>
  <si>
    <t>LIQUIDITY RATIOS</t>
  </si>
  <si>
    <t>Change</t>
  </si>
  <si>
    <t>Current ratio</t>
  </si>
  <si>
    <t xml:space="preserve">Three (1 to 3) red flags have been identified with the ratio analysis of ABC Company Income Statement and Balance Sheet. 
The owner’s equity in relation to the total assets increased from 47.73% to 60.54%. There is a concern to show proof of the owner’s new contribution that caused the increase.  
The current liabilities and total liabilities in relation to the owners’ equity fell drastically from 67.86% and 109.52% respectively to 32.52 to 65.18% respectively. There is a concern to show proof of settling the liabilities against possible cosmetic accounting reasons of the company which caused the reductions.  </t>
  </si>
  <si>
    <t>Quick ratio</t>
  </si>
  <si>
    <t>Account receivable turnover</t>
  </si>
  <si>
    <t>Days' sales in account receivable</t>
  </si>
  <si>
    <t>Inventory turnover</t>
  </si>
  <si>
    <t>PROFITABILITY / PERFORMANCE RATIOS</t>
  </si>
  <si>
    <t>Profit margin</t>
  </si>
  <si>
    <t>Gross profit margin (%)</t>
  </si>
  <si>
    <t>Earning per share</t>
  </si>
  <si>
    <t>Sales/Total assets</t>
  </si>
  <si>
    <t>Sales/Working capital</t>
  </si>
  <si>
    <t>EQUITY POSITION RATIOS</t>
  </si>
  <si>
    <t>Owners' equity/Total assets</t>
  </si>
  <si>
    <t>Current liabilities/Owners' equity</t>
  </si>
  <si>
    <t>Total liabilities/Owners' equity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</si>
</sst>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quot;-&quot;??_-;_-@_-"/>
    <numFmt numFmtId="177" formatCode="_-&quot;$&quot;* #,##0_-;\-&quot;$&quot;* #,##0_-;_-&quot;$&quot;* &quot;-&quot;_-;_-@_-"/>
    <numFmt numFmtId="178" formatCode="#,##0;\(#,##0\)"/>
  </numFmts>
  <fonts count="31">
    <font>
      <sz val="11"/>
      <color theme="1"/>
      <name val="Calibri"/>
      <charset val="134"/>
      <scheme val="minor"/>
    </font>
    <font>
      <b/>
      <sz val="11"/>
      <color theme="1"/>
      <name val="Calibri"/>
      <charset val="134"/>
      <scheme val="minor"/>
    </font>
    <font>
      <b/>
      <i/>
      <sz val="11"/>
      <color rgb="FFFF0000"/>
      <name val="Calibri"/>
      <charset val="134"/>
      <scheme val="minor"/>
    </font>
    <font>
      <u/>
      <sz val="11"/>
      <color theme="1"/>
      <name val="Calibri"/>
      <charset val="134"/>
      <scheme val="minor"/>
    </font>
    <font>
      <b/>
      <u val="double"/>
      <sz val="11"/>
      <color theme="1"/>
      <name val="Calibri"/>
      <charset val="134"/>
      <scheme val="minor"/>
    </font>
    <font>
      <b/>
      <u/>
      <sz val="11"/>
      <color theme="1"/>
      <name val="Calibri"/>
      <charset val="134"/>
      <scheme val="minor"/>
    </font>
    <font>
      <u val="double"/>
      <sz val="11"/>
      <color theme="1"/>
      <name val="Calibri"/>
      <charset val="134"/>
      <scheme val="minor"/>
    </font>
    <font>
      <b/>
      <sz val="11"/>
      <color rgb="FFFF0000"/>
      <name val="Calibri"/>
      <charset val="134"/>
      <scheme val="minor"/>
    </font>
    <font>
      <sz val="11"/>
      <color rgb="FFFF0000"/>
      <name val="Calibri"/>
      <charset val="134"/>
      <scheme val="minor"/>
    </font>
    <font>
      <b/>
      <i/>
      <sz val="11"/>
      <color theme="1"/>
      <name val="Calibri"/>
      <charset val="134"/>
      <scheme val="minor"/>
    </font>
    <font>
      <u/>
      <sz val="11"/>
      <color theme="1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Tahoma"/>
      <charset val="134"/>
    </font>
  </fonts>
  <fills count="35">
    <fill>
      <patternFill patternType="none"/>
    </fill>
    <fill>
      <patternFill patternType="gray125"/>
    </fill>
    <fill>
      <patternFill patternType="solid">
        <fgColor theme="0" tint="-0.349986266670736"/>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style="thick">
        <color auto="1"/>
      </right>
      <top/>
      <bottom/>
      <diagonal/>
    </border>
    <border>
      <left style="thick">
        <color auto="1"/>
      </left>
      <right style="thick">
        <color auto="1"/>
      </right>
      <top/>
      <bottom/>
      <diagonal/>
    </border>
    <border>
      <left style="thick">
        <color auto="1"/>
      </left>
      <right/>
      <top/>
      <bottom style="thick">
        <color auto="1"/>
      </bottom>
      <diagonal/>
    </border>
    <border>
      <left/>
      <right/>
      <top style="thick">
        <color auto="1"/>
      </top>
      <bottom/>
      <diagonal/>
    </border>
    <border>
      <left/>
      <right style="thick">
        <color auto="1"/>
      </right>
      <top style="thick">
        <color auto="1"/>
      </top>
      <bottom/>
      <diagonal/>
    </border>
    <border>
      <left style="thick">
        <color auto="1"/>
      </left>
      <right style="thick">
        <color auto="1"/>
      </right>
      <top style="thick">
        <color auto="1"/>
      </top>
      <bottom/>
      <diagonal/>
    </border>
    <border>
      <left style="thick">
        <color auto="1"/>
      </left>
      <right/>
      <top style="thick">
        <color auto="1"/>
      </top>
      <bottom/>
      <diagonal/>
    </border>
    <border>
      <left style="thick">
        <color auto="1"/>
      </left>
      <right/>
      <top/>
      <bottom/>
      <diagonal/>
    </border>
    <border>
      <left/>
      <right/>
      <top/>
      <bottom style="thick">
        <color auto="1"/>
      </bottom>
      <diagonal/>
    </border>
    <border>
      <left/>
      <right style="thick">
        <color auto="1"/>
      </right>
      <top/>
      <bottom style="thick">
        <color auto="1"/>
      </bottom>
      <diagonal/>
    </border>
    <border>
      <left/>
      <right/>
      <top style="thin">
        <color auto="1"/>
      </top>
      <bottom/>
      <diagonal/>
    </border>
    <border>
      <left/>
      <right style="thick">
        <color auto="1"/>
      </right>
      <top style="thin">
        <color auto="1"/>
      </top>
      <bottom/>
      <diagonal/>
    </border>
    <border>
      <left style="thick">
        <color auto="1"/>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176" fontId="0" fillId="0" borderId="0" applyFont="0" applyFill="0" applyBorder="0" applyAlignment="0" applyProtection="0"/>
    <xf numFmtId="9" fontId="0" fillId="0" borderId="0" applyFont="0" applyFill="0" applyBorder="0" applyAlignment="0" applyProtection="0"/>
    <xf numFmtId="41" fontId="11" fillId="0" borderId="0" applyFont="0" applyFill="0" applyBorder="0" applyAlignment="0" applyProtection="0">
      <alignment vertical="center"/>
    </xf>
    <xf numFmtId="177" fontId="11" fillId="0" borderId="0" applyFont="0" applyFill="0" applyBorder="0" applyAlignment="0" applyProtection="0">
      <alignment vertical="center"/>
    </xf>
    <xf numFmtId="0" fontId="10" fillId="0" borderId="0" applyNumberFormat="0" applyFill="0" applyBorder="0" applyAlignment="0" applyProtection="0"/>
    <xf numFmtId="0" fontId="12" fillId="0" borderId="0" applyNumberFormat="0" applyFill="0" applyBorder="0" applyAlignment="0" applyProtection="0">
      <alignment vertical="center"/>
    </xf>
    <xf numFmtId="0" fontId="11" fillId="4" borderId="1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5" borderId="17" applyNumberFormat="0" applyAlignment="0" applyProtection="0">
      <alignment vertical="center"/>
    </xf>
    <xf numFmtId="0" fontId="20" fillId="6" borderId="18" applyNumberFormat="0" applyAlignment="0" applyProtection="0">
      <alignment vertical="center"/>
    </xf>
    <xf numFmtId="0" fontId="21" fillId="6" borderId="17" applyNumberFormat="0" applyAlignment="0" applyProtection="0">
      <alignment vertical="center"/>
    </xf>
    <xf numFmtId="0" fontId="22" fillId="7" borderId="19" applyNumberFormat="0" applyAlignment="0" applyProtection="0">
      <alignment vertical="center"/>
    </xf>
    <xf numFmtId="0" fontId="23" fillId="0" borderId="20" applyNumberFormat="0" applyFill="0" applyAlignment="0" applyProtection="0">
      <alignment vertical="center"/>
    </xf>
    <xf numFmtId="0" fontId="24" fillId="0" borderId="21"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89">
    <xf numFmtId="0" fontId="0" fillId="0" borderId="0" xfId="0"/>
    <xf numFmtId="178" fontId="1" fillId="0" borderId="0" xfId="0" applyNumberFormat="1" applyFont="1" applyAlignment="1">
      <alignment horizontal="center"/>
    </xf>
    <xf numFmtId="0" fontId="1" fillId="0" borderId="0" xfId="0" applyFont="1" applyAlignment="1">
      <alignment horizontal="right"/>
    </xf>
    <xf numFmtId="0" fontId="1" fillId="2" borderId="0" xfId="0" applyFont="1" applyFill="1"/>
    <xf numFmtId="0" fontId="1" fillId="2" borderId="1" xfId="0" applyFont="1" applyFill="1" applyBorder="1"/>
    <xf numFmtId="0" fontId="1" fillId="2" borderId="2" xfId="0" applyFont="1" applyFill="1" applyBorder="1"/>
    <xf numFmtId="0" fontId="1" fillId="2" borderId="3" xfId="0" applyFont="1" applyFill="1" applyBorder="1" applyAlignment="1">
      <alignment horizontal="center"/>
    </xf>
    <xf numFmtId="2" fontId="0" fillId="0" borderId="4" xfId="0" applyNumberFormat="1" applyBorder="1"/>
    <xf numFmtId="2" fontId="0" fillId="0" borderId="5" xfId="0" applyNumberFormat="1" applyBorder="1"/>
    <xf numFmtId="10" fontId="0" fillId="0" borderId="5" xfId="3" applyNumberFormat="1" applyFont="1" applyBorder="1"/>
    <xf numFmtId="0" fontId="0" fillId="0" borderId="6" xfId="0" applyBorder="1"/>
    <xf numFmtId="0" fontId="0" fillId="0" borderId="7" xfId="0" applyBorder="1" applyAlignment="1">
      <alignment horizontal="left" vertical="top" wrapText="1"/>
    </xf>
    <xf numFmtId="2" fontId="0" fillId="0" borderId="0" xfId="0" applyNumberFormat="1"/>
    <xf numFmtId="2" fontId="0" fillId="0" borderId="1" xfId="0" applyNumberFormat="1" applyBorder="1"/>
    <xf numFmtId="10" fontId="0" fillId="0" borderId="1" xfId="3" applyNumberFormat="1" applyFont="1" applyBorder="1"/>
    <xf numFmtId="0" fontId="0" fillId="0" borderId="2" xfId="0" applyBorder="1"/>
    <xf numFmtId="0" fontId="0" fillId="0" borderId="8" xfId="0" applyBorder="1" applyAlignment="1">
      <alignment horizontal="left" vertical="top"/>
    </xf>
    <xf numFmtId="0" fontId="0" fillId="0" borderId="1" xfId="0" applyBorder="1"/>
    <xf numFmtId="9" fontId="0" fillId="0" borderId="1" xfId="3" applyFont="1" applyBorder="1"/>
    <xf numFmtId="10" fontId="0" fillId="0" borderId="0" xfId="3" applyNumberFormat="1" applyFont="1"/>
    <xf numFmtId="0" fontId="2" fillId="0" borderId="2" xfId="0" applyFont="1" applyBorder="1"/>
    <xf numFmtId="2" fontId="0" fillId="0" borderId="2" xfId="0" applyNumberFormat="1" applyBorder="1"/>
    <xf numFmtId="0" fontId="0" fillId="0" borderId="0" xfId="0" applyBorder="1"/>
    <xf numFmtId="0" fontId="0" fillId="0" borderId="0" xfId="0" applyBorder="1" applyAlignment="1">
      <alignment horizontal="left" vertical="top"/>
    </xf>
    <xf numFmtId="178" fontId="0" fillId="0" borderId="0" xfId="0" applyNumberFormat="1"/>
    <xf numFmtId="0" fontId="1" fillId="3" borderId="0" xfId="0" applyFont="1" applyFill="1" applyAlignment="1">
      <alignment horizontal="right"/>
    </xf>
    <xf numFmtId="0" fontId="1" fillId="3" borderId="1" xfId="0" applyFont="1" applyFill="1" applyBorder="1" applyAlignment="1">
      <alignment horizontal="right"/>
    </xf>
    <xf numFmtId="176" fontId="0" fillId="3" borderId="9" xfId="2" applyFont="1" applyFill="1" applyBorder="1" applyAlignment="1">
      <alignment horizontal="right" vertical="center"/>
    </xf>
    <xf numFmtId="176" fontId="0" fillId="3" borderId="10" xfId="2" applyFont="1" applyFill="1" applyBorder="1" applyAlignment="1">
      <alignment horizontal="right" vertical="center"/>
    </xf>
    <xf numFmtId="178" fontId="0" fillId="0" borderId="0" xfId="1" applyNumberFormat="1" applyFont="1"/>
    <xf numFmtId="178" fontId="0" fillId="0" borderId="1" xfId="1" applyNumberFormat="1" applyFont="1" applyBorder="1"/>
    <xf numFmtId="178" fontId="3" fillId="0" borderId="0" xfId="1" applyNumberFormat="1" applyFont="1" applyBorder="1"/>
    <xf numFmtId="178" fontId="3" fillId="0" borderId="1" xfId="1" applyNumberFormat="1" applyFont="1" applyBorder="1"/>
    <xf numFmtId="178" fontId="1" fillId="0" borderId="0" xfId="0" applyNumberFormat="1" applyFont="1"/>
    <xf numFmtId="178" fontId="4" fillId="0" borderId="0" xfId="1" applyNumberFormat="1" applyFont="1" applyBorder="1"/>
    <xf numFmtId="178" fontId="4" fillId="0" borderId="1" xfId="1" applyNumberFormat="1" applyFont="1" applyBorder="1"/>
    <xf numFmtId="178" fontId="5" fillId="0" borderId="0" xfId="1" applyNumberFormat="1" applyFont="1" applyBorder="1"/>
    <xf numFmtId="178" fontId="5" fillId="0" borderId="1" xfId="1" applyNumberFormat="1" applyFont="1" applyBorder="1"/>
    <xf numFmtId="178" fontId="0" fillId="0" borderId="0" xfId="1" applyNumberFormat="1" applyFont="1" applyBorder="1"/>
    <xf numFmtId="0" fontId="1" fillId="2" borderId="9" xfId="0" applyFont="1" applyFill="1" applyBorder="1" applyAlignment="1">
      <alignment horizontal="center"/>
    </xf>
    <xf numFmtId="0" fontId="0" fillId="0" borderId="4" xfId="0" applyBorder="1" applyAlignment="1">
      <alignment horizontal="left" vertical="top"/>
    </xf>
    <xf numFmtId="0" fontId="0" fillId="0" borderId="0" xfId="0" applyAlignment="1">
      <alignment horizontal="left" vertical="top"/>
    </xf>
    <xf numFmtId="178" fontId="1" fillId="3" borderId="0" xfId="0" applyNumberFormat="1" applyFont="1" applyFill="1" applyAlignment="1">
      <alignment horizontal="center"/>
    </xf>
    <xf numFmtId="178" fontId="0" fillId="3" borderId="0" xfId="0" applyNumberFormat="1" applyFill="1" applyAlignment="1">
      <alignment horizontal="center"/>
    </xf>
    <xf numFmtId="178" fontId="0" fillId="0" borderId="1" xfId="0" applyNumberFormat="1" applyBorder="1"/>
    <xf numFmtId="178" fontId="1" fillId="3" borderId="11" xfId="0" applyNumberFormat="1" applyFont="1" applyFill="1" applyBorder="1" applyAlignment="1">
      <alignment horizontal="center"/>
    </xf>
    <xf numFmtId="178" fontId="0" fillId="3" borderId="11" xfId="0" applyNumberFormat="1" applyFill="1" applyBorder="1" applyAlignment="1">
      <alignment horizontal="center"/>
    </xf>
    <xf numFmtId="178" fontId="0" fillId="3" borderId="12" xfId="0" applyNumberFormat="1" applyFill="1" applyBorder="1" applyAlignment="1">
      <alignment horizontal="center"/>
    </xf>
    <xf numFmtId="0" fontId="1" fillId="3" borderId="10" xfId="0" applyFont="1" applyFill="1" applyBorder="1"/>
    <xf numFmtId="178" fontId="1" fillId="3" borderId="10" xfId="0" applyNumberFormat="1" applyFont="1" applyFill="1" applyBorder="1"/>
    <xf numFmtId="0" fontId="1" fillId="3" borderId="13" xfId="0" applyFont="1" applyFill="1" applyBorder="1"/>
    <xf numFmtId="176" fontId="0" fillId="0" borderId="0" xfId="2" applyFont="1" applyBorder="1" applyAlignment="1">
      <alignment horizontal="right" shrinkToFit="1"/>
    </xf>
    <xf numFmtId="176" fontId="0" fillId="0" borderId="0" xfId="2" applyFont="1" applyAlignment="1">
      <alignment horizontal="right" vertical="center"/>
    </xf>
    <xf numFmtId="178" fontId="3" fillId="0" borderId="0" xfId="0" applyNumberFormat="1" applyFont="1"/>
    <xf numFmtId="9" fontId="3" fillId="0" borderId="1" xfId="3" applyFont="1" applyBorder="1"/>
    <xf numFmtId="178" fontId="4" fillId="0" borderId="0" xfId="0" applyNumberFormat="1" applyFont="1"/>
    <xf numFmtId="9" fontId="4" fillId="0" borderId="1" xfId="3" applyFont="1" applyBorder="1"/>
    <xf numFmtId="178" fontId="6" fillId="0" borderId="0" xfId="0" applyNumberFormat="1" applyFont="1"/>
    <xf numFmtId="178" fontId="1" fillId="3" borderId="8" xfId="0" applyNumberFormat="1" applyFont="1" applyFill="1" applyBorder="1" applyAlignment="1">
      <alignment horizontal="center"/>
    </xf>
    <xf numFmtId="0" fontId="1" fillId="3" borderId="0" xfId="0" applyFont="1" applyFill="1" applyAlignment="1">
      <alignment horizontal="center"/>
    </xf>
    <xf numFmtId="0" fontId="1" fillId="3" borderId="1" xfId="0" applyFont="1" applyFill="1" applyBorder="1" applyAlignment="1">
      <alignment horizontal="center"/>
    </xf>
    <xf numFmtId="0" fontId="1" fillId="3" borderId="8" xfId="0" applyFont="1" applyFill="1" applyBorder="1" applyAlignment="1">
      <alignment horizontal="center"/>
    </xf>
    <xf numFmtId="178" fontId="1" fillId="3" borderId="13" xfId="0" applyNumberFormat="1" applyFont="1" applyFill="1" applyBorder="1"/>
    <xf numFmtId="178" fontId="1" fillId="3" borderId="1" xfId="0" applyNumberFormat="1" applyFont="1" applyFill="1" applyBorder="1" applyAlignment="1">
      <alignment horizontal="center"/>
    </xf>
    <xf numFmtId="178" fontId="1" fillId="3" borderId="10" xfId="0" applyNumberFormat="1" applyFont="1" applyFill="1" applyBorder="1" applyAlignment="1">
      <alignment horizontal="center"/>
    </xf>
    <xf numFmtId="178" fontId="0" fillId="3" borderId="3" xfId="0" applyNumberFormat="1" applyFill="1" applyBorder="1" applyAlignment="1">
      <alignment horizontal="center"/>
    </xf>
    <xf numFmtId="178" fontId="0" fillId="3" borderId="9" xfId="0" applyNumberFormat="1" applyFill="1" applyBorder="1" applyAlignment="1">
      <alignment horizontal="center"/>
    </xf>
    <xf numFmtId="178" fontId="2" fillId="0" borderId="2" xfId="0" applyNumberFormat="1" applyFont="1" applyBorder="1"/>
    <xf numFmtId="178" fontId="0" fillId="0" borderId="7" xfId="0" applyNumberFormat="1" applyBorder="1" applyAlignment="1">
      <alignment horizontal="left" vertical="top" wrapText="1"/>
    </xf>
    <xf numFmtId="178" fontId="0" fillId="0" borderId="4" xfId="0" applyNumberFormat="1" applyBorder="1" applyAlignment="1">
      <alignment horizontal="left" vertical="top"/>
    </xf>
    <xf numFmtId="178" fontId="0" fillId="0" borderId="8" xfId="0" applyNumberFormat="1" applyBorder="1" applyAlignment="1">
      <alignment horizontal="left" vertical="top"/>
    </xf>
    <xf numFmtId="178" fontId="0" fillId="0" borderId="0" xfId="0" applyNumberFormat="1" applyAlignment="1">
      <alignment horizontal="left" vertical="top"/>
    </xf>
    <xf numFmtId="178" fontId="7" fillId="0" borderId="2" xfId="0" applyNumberFormat="1" applyFont="1" applyBorder="1"/>
    <xf numFmtId="178" fontId="8" fillId="0" borderId="2" xfId="0" applyNumberFormat="1" applyFont="1" applyBorder="1"/>
    <xf numFmtId="178" fontId="0" fillId="0" borderId="2" xfId="0" applyNumberFormat="1" applyBorder="1"/>
    <xf numFmtId="178" fontId="0" fillId="3" borderId="1" xfId="0" applyNumberFormat="1" applyFill="1" applyBorder="1" applyAlignment="1">
      <alignment horizontal="center"/>
    </xf>
    <xf numFmtId="178" fontId="0" fillId="3" borderId="1" xfId="0" applyNumberFormat="1" applyFill="1" applyBorder="1"/>
    <xf numFmtId="178" fontId="0" fillId="3" borderId="2" xfId="0" applyNumberFormat="1" applyFill="1" applyBorder="1"/>
    <xf numFmtId="178" fontId="9" fillId="0" borderId="2" xfId="0" applyNumberFormat="1" applyFont="1" applyBorder="1"/>
    <xf numFmtId="178" fontId="0" fillId="0" borderId="4" xfId="0" applyNumberFormat="1" applyBorder="1" applyAlignment="1">
      <alignment horizontal="left" vertical="top" wrapText="1"/>
    </xf>
    <xf numFmtId="178" fontId="0" fillId="0" borderId="4" xfId="0" applyNumberFormat="1" applyBorder="1" applyAlignment="1">
      <alignment vertical="top"/>
    </xf>
    <xf numFmtId="178" fontId="0" fillId="0" borderId="8" xfId="0" applyNumberFormat="1" applyBorder="1" applyAlignment="1">
      <alignment horizontal="left" vertical="top" wrapText="1"/>
    </xf>
    <xf numFmtId="178" fontId="0" fillId="0" borderId="0" xfId="0" applyNumberFormat="1" applyAlignment="1">
      <alignment horizontal="left" vertical="top" wrapText="1"/>
    </xf>
    <xf numFmtId="178" fontId="0" fillId="0" borderId="0" xfId="0" applyNumberFormat="1" applyAlignment="1">
      <alignment vertical="top"/>
    </xf>
    <xf numFmtId="178" fontId="1" fillId="0" borderId="2" xfId="0" applyNumberFormat="1" applyFont="1" applyBorder="1"/>
    <xf numFmtId="0" fontId="1" fillId="0" borderId="0" xfId="0" applyFont="1" applyAlignment="1">
      <alignment horizontal="center"/>
    </xf>
    <xf numFmtId="0" fontId="1" fillId="0" borderId="0" xfId="0" applyFont="1"/>
    <xf numFmtId="0" fontId="10" fillId="0" borderId="0" xfId="6" applyAlignment="1">
      <alignment horizontal="left"/>
    </xf>
    <xf numFmtId="0" fontId="0" fillId="0" borderId="0" xfId="0" applyAlignment="1">
      <alignment horizontal="left"/>
    </xf>
    <xf numFmtId="0" fontId="10" fillId="0" borderId="0" xfId="6"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P14"/>
  <sheetViews>
    <sheetView workbookViewId="0">
      <selection activeCell="P18" sqref="P18"/>
    </sheetView>
  </sheetViews>
  <sheetFormatPr defaultColWidth="9" defaultRowHeight="14.4"/>
  <sheetData>
    <row r="3" spans="2:13">
      <c r="B3" s="85" t="s">
        <v>0</v>
      </c>
      <c r="C3" s="85"/>
      <c r="D3" s="85"/>
      <c r="E3" s="85"/>
      <c r="F3" s="85"/>
      <c r="G3" s="85"/>
      <c r="H3" s="85"/>
      <c r="I3" s="85"/>
      <c r="J3" s="85"/>
      <c r="K3" s="85"/>
      <c r="L3" s="85"/>
      <c r="M3" s="85"/>
    </row>
    <row r="4" spans="2:13">
      <c r="B4" s="85" t="s">
        <v>1</v>
      </c>
      <c r="C4" s="85"/>
      <c r="D4" s="85"/>
      <c r="E4" s="85"/>
      <c r="F4" s="85"/>
      <c r="G4" s="85"/>
      <c r="H4" s="85"/>
      <c r="I4" s="85"/>
      <c r="J4" s="85"/>
      <c r="K4" s="85"/>
      <c r="L4" s="85"/>
      <c r="M4" s="85"/>
    </row>
    <row r="5" spans="2:13">
      <c r="B5" s="85"/>
      <c r="C5" s="85"/>
      <c r="D5" s="85"/>
      <c r="E5" s="85"/>
      <c r="F5" s="85"/>
      <c r="G5" s="85"/>
      <c r="H5" s="85"/>
      <c r="I5" s="85"/>
      <c r="J5" s="85"/>
      <c r="K5" s="85"/>
      <c r="L5" s="85"/>
      <c r="M5" s="85"/>
    </row>
    <row r="6" spans="2:13">
      <c r="B6" s="85" t="s">
        <v>2</v>
      </c>
      <c r="C6" s="85"/>
      <c r="D6" s="85"/>
      <c r="E6" s="85"/>
      <c r="F6" s="85"/>
      <c r="G6" s="85"/>
      <c r="H6" s="85"/>
      <c r="I6" s="85"/>
      <c r="J6" s="85"/>
      <c r="K6" s="85"/>
      <c r="L6" s="85"/>
      <c r="M6" s="85"/>
    </row>
    <row r="7" spans="2:8">
      <c r="B7" s="85"/>
      <c r="C7" s="85"/>
      <c r="D7" s="85"/>
      <c r="E7" s="85"/>
      <c r="F7" s="85"/>
      <c r="G7" s="85"/>
      <c r="H7" s="85"/>
    </row>
    <row r="8" spans="2:8">
      <c r="B8" s="85"/>
      <c r="C8" s="85"/>
      <c r="D8" s="85"/>
      <c r="E8" s="85"/>
      <c r="F8" s="85"/>
      <c r="G8" s="85"/>
      <c r="H8" s="85"/>
    </row>
    <row r="10" spans="2:2">
      <c r="B10" s="86" t="s">
        <v>3</v>
      </c>
    </row>
    <row r="11" spans="3:8">
      <c r="C11" s="89" t="s">
        <v>4</v>
      </c>
      <c r="D11" s="87"/>
      <c r="E11" s="87"/>
      <c r="F11" s="87"/>
      <c r="G11" s="87"/>
      <c r="H11" s="87"/>
    </row>
    <row r="12" spans="3:8">
      <c r="C12" s="87" t="s">
        <v>5</v>
      </c>
      <c r="D12" s="87"/>
      <c r="E12" s="87"/>
      <c r="F12" s="87"/>
      <c r="G12" s="87"/>
      <c r="H12" s="87"/>
    </row>
    <row r="13" spans="2:2">
      <c r="B13" s="86" t="s">
        <v>6</v>
      </c>
    </row>
    <row r="14" spans="3:16">
      <c r="C14" s="88" t="s">
        <v>7</v>
      </c>
      <c r="D14" s="88"/>
      <c r="E14" s="88"/>
      <c r="F14" s="88"/>
      <c r="G14" s="88"/>
      <c r="H14" s="88"/>
      <c r="I14" s="88"/>
      <c r="J14" s="88"/>
      <c r="K14" s="88"/>
      <c r="L14" s="88"/>
      <c r="M14" s="88"/>
      <c r="N14" s="88"/>
      <c r="O14" s="88"/>
      <c r="P14" s="88"/>
    </row>
  </sheetData>
  <mergeCells count="7">
    <mergeCell ref="B3:M3"/>
    <mergeCell ref="B4:M4"/>
    <mergeCell ref="B5:M5"/>
    <mergeCell ref="B6:M6"/>
    <mergeCell ref="C11:H11"/>
    <mergeCell ref="C12:H12"/>
    <mergeCell ref="C14:P14"/>
  </mergeCells>
  <hyperlinks>
    <hyperlink ref="C11:G11" location="'Part 1'!A1" display="Part 1: Horizontal and Vertical Analysis"/>
    <hyperlink ref="C11" location="'Part 1'!A1" display="Part 1: Horizontal and Vertical Analysis"/>
    <hyperlink ref="C12" location="Sheet1!A1" display="Part 2: Ratio Analysis"/>
  </hyperlink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Q66"/>
  <sheetViews>
    <sheetView zoomScale="90" zoomScaleNormal="90" workbookViewId="0">
      <selection activeCell="A4" sqref="A4:I4"/>
    </sheetView>
  </sheetViews>
  <sheetFormatPr defaultColWidth="9" defaultRowHeight="14.4"/>
  <cols>
    <col min="1" max="1" width="3.77777777777778" style="24" customWidth="1"/>
    <col min="2" max="2" width="39.7777777777778" style="24" customWidth="1"/>
    <col min="3" max="3" width="13" style="24" customWidth="1"/>
    <col min="4" max="4" width="13.4444444444444" style="24" customWidth="1"/>
    <col min="5" max="5" width="13.5555555555556" style="24" customWidth="1"/>
    <col min="6" max="8" width="15.7777777777778" style="24" customWidth="1"/>
    <col min="9" max="9" width="12.7777777777778" style="24" customWidth="1"/>
    <col min="10" max="10" width="8.88888888888889" style="24"/>
    <col min="11" max="11" width="15.7777777777778" style="24" customWidth="1"/>
    <col min="12" max="12" width="8.88888888888889" style="24"/>
    <col min="13" max="13" width="16.1111111111111" style="24" customWidth="1"/>
    <col min="14" max="16384" width="8.88888888888889" style="24"/>
  </cols>
  <sheetData>
    <row r="2" spans="1:9">
      <c r="A2" s="1" t="s">
        <v>8</v>
      </c>
      <c r="B2" s="1"/>
      <c r="C2" s="1"/>
      <c r="D2" s="1"/>
      <c r="E2" s="1"/>
      <c r="F2" s="1"/>
      <c r="G2" s="1"/>
      <c r="H2" s="1"/>
      <c r="I2" s="1"/>
    </row>
    <row r="3" spans="1:9">
      <c r="A3" s="1" t="s">
        <v>9</v>
      </c>
      <c r="B3" s="1"/>
      <c r="C3" s="1"/>
      <c r="D3" s="1"/>
      <c r="E3" s="1"/>
      <c r="F3" s="1"/>
      <c r="G3" s="1"/>
      <c r="H3" s="1"/>
      <c r="I3" s="1"/>
    </row>
    <row r="4" spans="1:13">
      <c r="A4" s="1" t="s">
        <v>10</v>
      </c>
      <c r="B4" s="1"/>
      <c r="C4" s="1"/>
      <c r="D4" s="1"/>
      <c r="E4" s="1"/>
      <c r="F4" s="1"/>
      <c r="G4" s="1"/>
      <c r="H4" s="1"/>
      <c r="I4" s="1"/>
      <c r="K4"/>
      <c r="L4"/>
      <c r="M4"/>
    </row>
    <row r="5" spans="3:16">
      <c r="C5" s="42"/>
      <c r="D5" s="43"/>
      <c r="E5" s="43"/>
      <c r="F5" s="43"/>
      <c r="G5" s="43"/>
      <c r="H5" s="43"/>
      <c r="I5" s="42"/>
      <c r="J5" s="42"/>
      <c r="K5" s="43"/>
      <c r="L5" s="43"/>
      <c r="M5" s="43"/>
      <c r="N5" s="43"/>
      <c r="O5" s="43"/>
      <c r="P5" s="43"/>
    </row>
    <row r="6" spans="2:16">
      <c r="B6" s="44"/>
      <c r="C6" s="45" t="s">
        <v>11</v>
      </c>
      <c r="D6" s="46"/>
      <c r="E6" s="46"/>
      <c r="F6" s="46"/>
      <c r="G6" s="46"/>
      <c r="H6" s="47"/>
      <c r="I6" s="63" t="s">
        <v>12</v>
      </c>
      <c r="J6" s="58" t="s">
        <v>13</v>
      </c>
      <c r="K6" s="43"/>
      <c r="L6" s="43"/>
      <c r="M6" s="43"/>
      <c r="N6" s="43"/>
      <c r="O6" s="43"/>
      <c r="P6" s="43"/>
    </row>
    <row r="7" ht="15.15" spans="1:16">
      <c r="A7" s="33" t="s">
        <v>14</v>
      </c>
      <c r="B7" s="44"/>
      <c r="C7" s="48">
        <v>2018</v>
      </c>
      <c r="D7" s="49" t="s">
        <v>15</v>
      </c>
      <c r="E7" s="50">
        <v>2017</v>
      </c>
      <c r="F7" s="49" t="s">
        <v>16</v>
      </c>
      <c r="G7" s="50">
        <v>2016</v>
      </c>
      <c r="H7" s="49" t="s">
        <v>15</v>
      </c>
      <c r="I7" s="64"/>
      <c r="J7" s="65"/>
      <c r="K7" s="66"/>
      <c r="L7" s="66"/>
      <c r="M7" s="66"/>
      <c r="N7" s="66"/>
      <c r="O7" s="66"/>
      <c r="P7" s="66"/>
    </row>
    <row r="8" ht="15.15" spans="1:16">
      <c r="A8" s="24" t="s">
        <v>17</v>
      </c>
      <c r="C8" s="51" t="s">
        <v>18</v>
      </c>
      <c r="D8" s="18"/>
      <c r="E8" s="52" t="s">
        <v>18</v>
      </c>
      <c r="F8" s="44"/>
      <c r="G8" s="52" t="s">
        <v>18</v>
      </c>
      <c r="H8" s="44"/>
      <c r="I8" s="67"/>
      <c r="J8" s="68" t="s">
        <v>19</v>
      </c>
      <c r="K8" s="69"/>
      <c r="L8" s="69"/>
      <c r="M8" s="69"/>
      <c r="N8" s="69"/>
      <c r="O8" s="69"/>
      <c r="P8" s="69"/>
    </row>
    <row r="9" spans="2:16">
      <c r="B9" s="24" t="s">
        <v>20</v>
      </c>
      <c r="C9" s="24">
        <v>501992</v>
      </c>
      <c r="D9" s="18">
        <f t="shared" ref="D9:D16" si="0">C9/$C$16</f>
        <v>0.233349742451225</v>
      </c>
      <c r="E9" s="24">
        <v>434215</v>
      </c>
      <c r="F9" s="18">
        <f t="shared" ref="F9:F16" si="1">E9/$E$16</f>
        <v>0.215829894936921</v>
      </c>
      <c r="G9" s="24">
        <v>375141</v>
      </c>
      <c r="H9" s="18">
        <f t="shared" ref="H9:H16" si="2">G9/$G$16</f>
        <v>0.235358960041659</v>
      </c>
      <c r="I9" s="67">
        <v>1</v>
      </c>
      <c r="J9" s="70"/>
      <c r="K9" s="71"/>
      <c r="L9" s="71"/>
      <c r="M9" s="71"/>
      <c r="N9" s="71"/>
      <c r="O9" s="71"/>
      <c r="P9" s="71"/>
    </row>
    <row r="10" spans="2:16">
      <c r="B10" s="24" t="s">
        <v>21</v>
      </c>
      <c r="C10" s="24">
        <v>335272</v>
      </c>
      <c r="D10" s="18">
        <f t="shared" si="0"/>
        <v>0.155850361860562</v>
      </c>
      <c r="E10" s="24">
        <v>302514</v>
      </c>
      <c r="F10" s="18">
        <f t="shared" si="1"/>
        <v>0.150366903116999</v>
      </c>
      <c r="G10" s="24">
        <v>241764</v>
      </c>
      <c r="H10" s="18">
        <f t="shared" si="2"/>
        <v>0.151679831358107</v>
      </c>
      <c r="I10" s="67">
        <v>2</v>
      </c>
      <c r="J10" s="70"/>
      <c r="K10" s="71"/>
      <c r="L10" s="71"/>
      <c r="M10" s="71"/>
      <c r="N10" s="71"/>
      <c r="O10" s="71"/>
      <c r="P10" s="71"/>
    </row>
    <row r="11" spans="2:16">
      <c r="B11" s="24" t="s">
        <v>22</v>
      </c>
      <c r="C11" s="24">
        <v>515174</v>
      </c>
      <c r="D11" s="18">
        <f t="shared" si="0"/>
        <v>0.239477362622447</v>
      </c>
      <c r="E11" s="24">
        <v>505321</v>
      </c>
      <c r="F11" s="18">
        <f t="shared" si="1"/>
        <v>0.251173677416533</v>
      </c>
      <c r="G11" s="24">
        <v>310885</v>
      </c>
      <c r="H11" s="18">
        <f t="shared" si="2"/>
        <v>0.195045516999078</v>
      </c>
      <c r="I11" s="67">
        <v>3</v>
      </c>
      <c r="J11" s="70"/>
      <c r="K11" s="71"/>
      <c r="L11" s="71"/>
      <c r="M11" s="71"/>
      <c r="N11" s="71"/>
      <c r="O11" s="71"/>
      <c r="P11" s="71"/>
    </row>
    <row r="12" spans="2:16">
      <c r="B12" s="24" t="s">
        <v>23</v>
      </c>
      <c r="C12" s="53">
        <v>251874</v>
      </c>
      <c r="D12" s="18">
        <f t="shared" si="0"/>
        <v>0.117083007359001</v>
      </c>
      <c r="E12" s="53">
        <v>231100</v>
      </c>
      <c r="F12" s="18">
        <f t="shared" si="1"/>
        <v>0.114870026875908</v>
      </c>
      <c r="G12" s="53">
        <v>136388</v>
      </c>
      <c r="H12" s="54">
        <f t="shared" si="2"/>
        <v>0.0855681939381772</v>
      </c>
      <c r="I12" s="67">
        <v>4</v>
      </c>
      <c r="J12" s="70"/>
      <c r="K12" s="71"/>
      <c r="L12" s="71"/>
      <c r="M12" s="71"/>
      <c r="N12" s="71"/>
      <c r="O12" s="71"/>
      <c r="P12" s="71"/>
    </row>
    <row r="13" spans="2:16">
      <c r="B13" s="24" t="s">
        <v>24</v>
      </c>
      <c r="C13" s="24">
        <f>SUM(C9:C12)</f>
        <v>1604312</v>
      </c>
      <c r="D13" s="18">
        <f t="shared" si="0"/>
        <v>0.745760474293234</v>
      </c>
      <c r="E13" s="24">
        <f>SUM(E9:E12)</f>
        <v>1473150</v>
      </c>
      <c r="F13" s="18">
        <f t="shared" si="1"/>
        <v>0.732240502346361</v>
      </c>
      <c r="G13" s="24">
        <f t="shared" ref="G13" si="3">SUM(G9:G12)</f>
        <v>1064178</v>
      </c>
      <c r="H13" s="18">
        <f t="shared" si="2"/>
        <v>0.66765250233702</v>
      </c>
      <c r="I13" s="67"/>
      <c r="J13" s="70"/>
      <c r="K13" s="71"/>
      <c r="L13" s="71"/>
      <c r="M13" s="71"/>
      <c r="N13" s="71"/>
      <c r="O13" s="71"/>
      <c r="P13" s="71"/>
    </row>
    <row r="14" spans="1:16">
      <c r="A14" s="24" t="s">
        <v>25</v>
      </c>
      <c r="C14" s="24">
        <v>765215</v>
      </c>
      <c r="D14" s="18">
        <f t="shared" si="0"/>
        <v>0.35570830445468</v>
      </c>
      <c r="E14" s="24">
        <v>735531</v>
      </c>
      <c r="F14" s="18">
        <f t="shared" si="1"/>
        <v>0.365601322968687</v>
      </c>
      <c r="G14" s="24">
        <v>705132</v>
      </c>
      <c r="H14" s="18">
        <f t="shared" si="2"/>
        <v>0.442391352083869</v>
      </c>
      <c r="I14" s="67"/>
      <c r="J14" s="70"/>
      <c r="K14" s="71"/>
      <c r="L14" s="71"/>
      <c r="M14" s="71"/>
      <c r="N14" s="71"/>
      <c r="O14" s="71"/>
      <c r="P14" s="71"/>
    </row>
    <row r="15" spans="1:16">
      <c r="A15" s="24" t="s">
        <v>26</v>
      </c>
      <c r="C15" s="53">
        <v>-218284</v>
      </c>
      <c r="D15" s="54">
        <f t="shared" si="0"/>
        <v>-0.101468778747915</v>
      </c>
      <c r="E15" s="53">
        <v>-196842</v>
      </c>
      <c r="F15" s="54">
        <f t="shared" si="1"/>
        <v>-0.0978418253150476</v>
      </c>
      <c r="G15" s="53">
        <v>-175400</v>
      </c>
      <c r="H15" s="54">
        <f t="shared" si="2"/>
        <v>-0.11004385442089</v>
      </c>
      <c r="I15" s="67"/>
      <c r="J15" s="70"/>
      <c r="K15" s="71"/>
      <c r="L15" s="71"/>
      <c r="M15" s="71"/>
      <c r="N15" s="71"/>
      <c r="O15" s="71"/>
      <c r="P15" s="71"/>
    </row>
    <row r="16" spans="1:16">
      <c r="A16" s="33" t="s">
        <v>27</v>
      </c>
      <c r="B16" s="33"/>
      <c r="C16" s="55">
        <f>C13+C14+C15</f>
        <v>2151243</v>
      </c>
      <c r="D16" s="56">
        <f t="shared" si="0"/>
        <v>1</v>
      </c>
      <c r="E16" s="55">
        <f t="shared" ref="E16" si="4">E13+E14+E15</f>
        <v>2011839</v>
      </c>
      <c r="F16" s="56">
        <f t="shared" si="1"/>
        <v>1</v>
      </c>
      <c r="G16" s="55">
        <f>G13+G14+G15</f>
        <v>1593910</v>
      </c>
      <c r="H16" s="56">
        <f t="shared" si="2"/>
        <v>1</v>
      </c>
      <c r="I16" s="67"/>
      <c r="J16" s="70"/>
      <c r="K16" s="71"/>
      <c r="L16" s="71"/>
      <c r="M16" s="71"/>
      <c r="N16" s="71"/>
      <c r="O16" s="71"/>
      <c r="P16" s="71"/>
    </row>
    <row r="17" spans="3:16">
      <c r="C17" s="57"/>
      <c r="D17" s="44"/>
      <c r="E17" s="57"/>
      <c r="F17" s="44"/>
      <c r="G17" s="57"/>
      <c r="H17" s="44"/>
      <c r="I17" s="67"/>
      <c r="J17" s="70"/>
      <c r="K17" s="71"/>
      <c r="L17" s="71"/>
      <c r="M17" s="71"/>
      <c r="N17" s="71"/>
      <c r="O17" s="71"/>
      <c r="P17" s="71"/>
    </row>
    <row r="18" spans="1:16">
      <c r="A18" s="33" t="s">
        <v>28</v>
      </c>
      <c r="D18" s="44"/>
      <c r="F18" s="44"/>
      <c r="H18" s="44"/>
      <c r="I18" s="67"/>
      <c r="J18" s="70"/>
      <c r="K18" s="71"/>
      <c r="L18" s="71"/>
      <c r="M18" s="71"/>
      <c r="N18" s="71"/>
      <c r="O18" s="71"/>
      <c r="P18" s="71"/>
    </row>
    <row r="19" spans="1:16">
      <c r="A19" s="24" t="s">
        <v>29</v>
      </c>
      <c r="D19" s="44"/>
      <c r="F19" s="44"/>
      <c r="H19" s="44"/>
      <c r="I19" s="67"/>
      <c r="J19" s="70"/>
      <c r="K19" s="71"/>
      <c r="L19" s="71"/>
      <c r="M19" s="71"/>
      <c r="N19" s="71"/>
      <c r="O19" s="71"/>
      <c r="P19" s="71"/>
    </row>
    <row r="20" spans="2:16">
      <c r="B20" s="24" t="s">
        <v>30</v>
      </c>
      <c r="C20" s="24">
        <v>248494</v>
      </c>
      <c r="D20" s="18">
        <f t="shared" ref="D20:D27" si="5">C20/$C$34</f>
        <v>0.115511822699714</v>
      </c>
      <c r="E20" s="24">
        <v>366864</v>
      </c>
      <c r="F20" s="18">
        <f t="shared" ref="F20:F27" si="6">E20/$E$34</f>
        <v>0.182352563997417</v>
      </c>
      <c r="G20" s="24">
        <v>322156</v>
      </c>
      <c r="H20" s="18">
        <f t="shared" ref="H20:H27" si="7">G20/$G$34</f>
        <v>0.202116807097013</v>
      </c>
      <c r="I20" s="67">
        <v>5</v>
      </c>
      <c r="J20" s="70"/>
      <c r="K20" s="71"/>
      <c r="L20" s="71"/>
      <c r="M20" s="71"/>
      <c r="N20" s="71"/>
      <c r="O20" s="71"/>
      <c r="P20" s="71"/>
    </row>
    <row r="21" spans="2:16">
      <c r="B21" s="24" t="s">
        <v>31</v>
      </c>
      <c r="C21" s="24">
        <v>122192</v>
      </c>
      <c r="D21" s="18">
        <f t="shared" si="5"/>
        <v>0.0568006496709112</v>
      </c>
      <c r="E21" s="24">
        <v>216533</v>
      </c>
      <c r="F21" s="18">
        <f t="shared" si="6"/>
        <v>0.107629387838689</v>
      </c>
      <c r="G21" s="24">
        <v>215474</v>
      </c>
      <c r="H21" s="18">
        <f t="shared" si="7"/>
        <v>0.135185800954885</v>
      </c>
      <c r="I21" s="67">
        <v>6</v>
      </c>
      <c r="J21" s="70"/>
      <c r="K21" s="71"/>
      <c r="L21" s="71"/>
      <c r="M21" s="71"/>
      <c r="N21" s="71"/>
      <c r="O21" s="71"/>
      <c r="P21" s="71"/>
    </row>
    <row r="22" spans="2:16">
      <c r="B22" s="24" t="s">
        <v>32</v>
      </c>
      <c r="C22" s="24">
        <v>10645</v>
      </c>
      <c r="D22" s="18">
        <f t="shared" si="5"/>
        <v>0.00494830198169151</v>
      </c>
      <c r="E22" s="24">
        <v>25698</v>
      </c>
      <c r="F22" s="18">
        <f t="shared" si="6"/>
        <v>0.0127733879301475</v>
      </c>
      <c r="G22" s="24">
        <v>22349</v>
      </c>
      <c r="H22" s="18">
        <f t="shared" si="7"/>
        <v>0.0140214943127278</v>
      </c>
      <c r="I22" s="67"/>
      <c r="J22" s="70"/>
      <c r="K22" s="71"/>
      <c r="L22" s="71"/>
      <c r="M22" s="71"/>
      <c r="N22" s="71"/>
      <c r="O22" s="71"/>
      <c r="P22" s="71"/>
    </row>
    <row r="23" spans="2:16">
      <c r="B23" s="24" t="s">
        <v>33</v>
      </c>
      <c r="C23" s="53">
        <v>42200</v>
      </c>
      <c r="D23" s="18">
        <f t="shared" si="5"/>
        <v>0.0196165658644793</v>
      </c>
      <c r="E23" s="53">
        <v>42200</v>
      </c>
      <c r="F23" s="18">
        <f t="shared" si="6"/>
        <v>0.0209758335532814</v>
      </c>
      <c r="G23" s="53">
        <v>42200</v>
      </c>
      <c r="H23" s="18">
        <f t="shared" si="7"/>
        <v>0.0264757734125515</v>
      </c>
      <c r="I23" s="67"/>
      <c r="J23" s="70"/>
      <c r="K23" s="71"/>
      <c r="L23" s="71"/>
      <c r="M23" s="71"/>
      <c r="N23" s="71"/>
      <c r="O23" s="71"/>
      <c r="P23" s="71"/>
    </row>
    <row r="24" spans="2:16">
      <c r="B24" s="24" t="s">
        <v>34</v>
      </c>
      <c r="C24" s="24">
        <f>SUM(C20:C23)</f>
        <v>423531</v>
      </c>
      <c r="D24" s="18">
        <f t="shared" si="5"/>
        <v>0.196877340216796</v>
      </c>
      <c r="E24" s="24">
        <f>SUM(E20:E23)</f>
        <v>651295</v>
      </c>
      <c r="F24" s="18">
        <f t="shared" si="6"/>
        <v>0.323731173319535</v>
      </c>
      <c r="G24" s="24">
        <f t="shared" ref="G24" si="8">SUM(G20:G23)</f>
        <v>602179</v>
      </c>
      <c r="H24" s="18">
        <f t="shared" si="7"/>
        <v>0.377799875777177</v>
      </c>
      <c r="I24" s="67"/>
      <c r="J24" s="70"/>
      <c r="K24" s="71"/>
      <c r="L24" s="71"/>
      <c r="M24" s="71"/>
      <c r="N24" s="71"/>
      <c r="O24" s="71"/>
      <c r="P24" s="71"/>
    </row>
    <row r="25" spans="1:16">
      <c r="A25" s="24" t="s">
        <v>35</v>
      </c>
      <c r="D25" s="18">
        <f t="shared" si="5"/>
        <v>0</v>
      </c>
      <c r="F25" s="18">
        <f t="shared" si="6"/>
        <v>0</v>
      </c>
      <c r="H25" s="18">
        <f t="shared" si="7"/>
        <v>0</v>
      </c>
      <c r="I25" s="67"/>
      <c r="J25" s="70"/>
      <c r="K25" s="71"/>
      <c r="L25" s="71"/>
      <c r="M25" s="71"/>
      <c r="N25" s="71"/>
      <c r="O25" s="71"/>
      <c r="P25" s="71"/>
    </row>
    <row r="26" spans="2:16">
      <c r="B26" s="24" t="s">
        <v>36</v>
      </c>
      <c r="C26" s="53">
        <v>425311</v>
      </c>
      <c r="D26" s="18">
        <f t="shared" si="5"/>
        <v>0.197704768824349</v>
      </c>
      <c r="E26" s="53">
        <v>400311</v>
      </c>
      <c r="F26" s="18">
        <f t="shared" si="6"/>
        <v>0.198977651790228</v>
      </c>
      <c r="G26" s="53">
        <v>375100</v>
      </c>
      <c r="H26" s="18">
        <f t="shared" si="7"/>
        <v>0.235333237133841</v>
      </c>
      <c r="I26" s="72"/>
      <c r="J26" s="70"/>
      <c r="K26" s="71"/>
      <c r="L26" s="71"/>
      <c r="M26" s="71"/>
      <c r="N26" s="71"/>
      <c r="O26" s="71"/>
      <c r="P26" s="71"/>
    </row>
    <row r="27" spans="1:16">
      <c r="A27" s="33" t="s">
        <v>37</v>
      </c>
      <c r="B27" s="33"/>
      <c r="C27" s="33">
        <f>C24+C26</f>
        <v>848842</v>
      </c>
      <c r="D27" s="18">
        <f t="shared" si="5"/>
        <v>0.394582109041145</v>
      </c>
      <c r="E27" s="33">
        <f>E24+E26</f>
        <v>1051606</v>
      </c>
      <c r="F27" s="18">
        <f t="shared" si="6"/>
        <v>0.522708825109763</v>
      </c>
      <c r="G27" s="33">
        <f t="shared" ref="G27" si="9">G24+G26</f>
        <v>977279</v>
      </c>
      <c r="H27" s="18">
        <f t="shared" si="7"/>
        <v>0.613133112911018</v>
      </c>
      <c r="I27" s="72"/>
      <c r="J27" s="70"/>
      <c r="K27" s="71"/>
      <c r="L27" s="71"/>
      <c r="M27" s="71"/>
      <c r="N27" s="71"/>
      <c r="O27" s="71"/>
      <c r="P27" s="71"/>
    </row>
    <row r="28" spans="1:16">
      <c r="A28" s="33"/>
      <c r="B28" s="33"/>
      <c r="C28" s="33"/>
      <c r="D28" s="18"/>
      <c r="E28" s="33"/>
      <c r="F28" s="18"/>
      <c r="G28" s="33"/>
      <c r="H28" s="18"/>
      <c r="I28" s="73"/>
      <c r="J28" s="70"/>
      <c r="K28" s="71"/>
      <c r="L28" s="71"/>
      <c r="M28" s="71"/>
      <c r="N28" s="71"/>
      <c r="O28" s="71"/>
      <c r="P28" s="71"/>
    </row>
    <row r="29" spans="1:16">
      <c r="A29" s="33" t="s">
        <v>38</v>
      </c>
      <c r="D29" s="18"/>
      <c r="F29" s="18"/>
      <c r="H29" s="18"/>
      <c r="I29" s="73"/>
      <c r="J29" s="70"/>
      <c r="K29" s="71"/>
      <c r="L29" s="71"/>
      <c r="M29" s="71"/>
      <c r="N29" s="71"/>
      <c r="O29" s="71"/>
      <c r="P29" s="71"/>
    </row>
    <row r="30" spans="1:16">
      <c r="A30" s="24" t="s">
        <v>39</v>
      </c>
      <c r="C30" s="24">
        <v>370124</v>
      </c>
      <c r="D30" s="18">
        <f>C30/$C$34</f>
        <v>0.172051228057453</v>
      </c>
      <c r="E30" s="24">
        <v>356758</v>
      </c>
      <c r="F30" s="18">
        <f>E30/$E$34</f>
        <v>0.177329299213307</v>
      </c>
      <c r="G30" s="24">
        <v>320841</v>
      </c>
      <c r="H30" s="18">
        <f>G30/$G$34</f>
        <v>0.201291791882854</v>
      </c>
      <c r="I30" s="73"/>
      <c r="J30" s="70"/>
      <c r="K30" s="71"/>
      <c r="L30" s="71"/>
      <c r="M30" s="71"/>
      <c r="N30" s="71"/>
      <c r="O30" s="71"/>
      <c r="P30" s="71"/>
    </row>
    <row r="31" spans="1:16">
      <c r="A31" s="24" t="s">
        <v>40</v>
      </c>
      <c r="C31" s="24">
        <v>29546</v>
      </c>
      <c r="D31" s="18">
        <f>C31/$C$34</f>
        <v>0.0137343851903295</v>
      </c>
      <c r="E31" s="24">
        <v>24881</v>
      </c>
      <c r="F31" s="18">
        <f>E31/$E$34</f>
        <v>0.0123672918160946</v>
      </c>
      <c r="G31" s="24">
        <v>21910</v>
      </c>
      <c r="H31" s="18">
        <f>G31/$G$34</f>
        <v>0.0137460709826778</v>
      </c>
      <c r="I31" s="73"/>
      <c r="J31" s="70"/>
      <c r="K31" s="71"/>
      <c r="L31" s="71"/>
      <c r="M31" s="71"/>
      <c r="N31" s="71"/>
      <c r="O31" s="71"/>
      <c r="P31" s="71"/>
    </row>
    <row r="32" spans="1:16">
      <c r="A32" s="24" t="s">
        <v>41</v>
      </c>
      <c r="C32" s="53">
        <v>902731</v>
      </c>
      <c r="D32" s="18">
        <f>C32/$C$34</f>
        <v>0.419632277711072</v>
      </c>
      <c r="E32" s="53">
        <v>578594</v>
      </c>
      <c r="F32" s="18">
        <f>E32/$E$34</f>
        <v>0.287594583860836</v>
      </c>
      <c r="G32" s="53">
        <v>273880</v>
      </c>
      <c r="H32" s="18">
        <f>G32/$G$34</f>
        <v>0.171829024223451</v>
      </c>
      <c r="I32" s="73"/>
      <c r="J32" s="70"/>
      <c r="K32" s="71"/>
      <c r="L32" s="71"/>
      <c r="M32" s="71"/>
      <c r="N32" s="71"/>
      <c r="O32" s="71"/>
      <c r="P32" s="71"/>
    </row>
    <row r="33" spans="2:16">
      <c r="B33" s="24" t="s">
        <v>42</v>
      </c>
      <c r="C33" s="53">
        <v>1302401</v>
      </c>
      <c r="D33" s="54">
        <f>C33/$C$34</f>
        <v>0.605417890958855</v>
      </c>
      <c r="E33" s="53">
        <v>960233</v>
      </c>
      <c r="F33" s="54">
        <f>E33/$E$34</f>
        <v>0.477291174890237</v>
      </c>
      <c r="G33" s="53">
        <v>616631</v>
      </c>
      <c r="H33" s="54">
        <f>G33/$G$34</f>
        <v>0.386866887088982</v>
      </c>
      <c r="I33" s="73"/>
      <c r="J33" s="70"/>
      <c r="K33" s="71"/>
      <c r="L33" s="71"/>
      <c r="M33" s="71"/>
      <c r="N33" s="71"/>
      <c r="O33" s="71"/>
      <c r="P33" s="71"/>
    </row>
    <row r="34" spans="1:16">
      <c r="A34" s="33" t="s">
        <v>43</v>
      </c>
      <c r="B34" s="33"/>
      <c r="C34" s="55">
        <v>2151243</v>
      </c>
      <c r="D34" s="56">
        <f>C34/$C$34</f>
        <v>1</v>
      </c>
      <c r="E34" s="55">
        <v>2011839</v>
      </c>
      <c r="F34" s="56">
        <f>E34/$E$34</f>
        <v>1</v>
      </c>
      <c r="G34" s="55">
        <v>1593910</v>
      </c>
      <c r="H34" s="56">
        <f>G34/$G$34</f>
        <v>1</v>
      </c>
      <c r="I34" s="73"/>
      <c r="J34" s="70"/>
      <c r="K34" s="71"/>
      <c r="L34" s="71"/>
      <c r="M34" s="71"/>
      <c r="N34" s="71"/>
      <c r="O34" s="71"/>
      <c r="P34" s="71"/>
    </row>
    <row r="35" spans="4:16">
      <c r="D35" s="44"/>
      <c r="F35" s="44"/>
      <c r="H35" s="44"/>
      <c r="I35" s="74"/>
      <c r="J35" s="70"/>
      <c r="K35" s="71"/>
      <c r="L35" s="71"/>
      <c r="M35" s="71"/>
      <c r="N35" s="71"/>
      <c r="O35" s="71"/>
      <c r="P35" s="71"/>
    </row>
    <row r="40" spans="1:10">
      <c r="A40" s="1" t="s">
        <v>8</v>
      </c>
      <c r="B40" s="1"/>
      <c r="C40" s="1"/>
      <c r="D40" s="1"/>
      <c r="E40" s="1"/>
      <c r="F40" s="1"/>
      <c r="G40" s="1"/>
      <c r="H40" s="1"/>
      <c r="I40" s="1"/>
      <c r="J40" s="1"/>
    </row>
    <row r="41" spans="1:10">
      <c r="A41" s="1" t="s">
        <v>44</v>
      </c>
      <c r="B41" s="1"/>
      <c r="C41" s="1"/>
      <c r="D41" s="1"/>
      <c r="E41" s="1"/>
      <c r="F41" s="1"/>
      <c r="G41" s="1"/>
      <c r="H41" s="1"/>
      <c r="I41" s="1"/>
      <c r="J41" s="1"/>
    </row>
    <row r="42" spans="1:10">
      <c r="A42" s="1" t="s">
        <v>45</v>
      </c>
      <c r="B42" s="1"/>
      <c r="C42" s="1"/>
      <c r="D42" s="1"/>
      <c r="E42" s="1"/>
      <c r="F42" s="1"/>
      <c r="G42" s="1"/>
      <c r="H42" s="1"/>
      <c r="I42" s="1"/>
      <c r="J42" s="1"/>
    </row>
    <row r="43" spans="3:10">
      <c r="C43" s="25">
        <v>2018</v>
      </c>
      <c r="D43" s="25">
        <v>2017</v>
      </c>
      <c r="E43" s="26">
        <v>2016</v>
      </c>
      <c r="F43" s="58" t="s">
        <v>46</v>
      </c>
      <c r="G43" s="43"/>
      <c r="H43" s="43"/>
      <c r="I43" s="75"/>
      <c r="J43" s="76"/>
    </row>
    <row r="44" spans="3:17">
      <c r="C44" s="25"/>
      <c r="D44" s="25"/>
      <c r="E44" s="26"/>
      <c r="F44" s="59">
        <v>2018</v>
      </c>
      <c r="G44" s="60"/>
      <c r="H44" s="61">
        <v>2017</v>
      </c>
      <c r="I44" s="60"/>
      <c r="J44" s="77"/>
      <c r="K44" s="58" t="s">
        <v>13</v>
      </c>
      <c r="L44" s="43"/>
      <c r="M44" s="43"/>
      <c r="N44" s="43"/>
      <c r="O44" s="43"/>
      <c r="P44" s="43"/>
      <c r="Q44" s="43"/>
    </row>
    <row r="45" ht="15.15" spans="3:17">
      <c r="C45" s="27" t="s">
        <v>18</v>
      </c>
      <c r="D45" s="27" t="s">
        <v>18</v>
      </c>
      <c r="E45" s="28" t="s">
        <v>18</v>
      </c>
      <c r="F45" s="49" t="s">
        <v>47</v>
      </c>
      <c r="G45" s="49" t="s">
        <v>15</v>
      </c>
      <c r="H45" s="62" t="s">
        <v>47</v>
      </c>
      <c r="I45" s="49" t="s">
        <v>15</v>
      </c>
      <c r="J45" s="62" t="s">
        <v>12</v>
      </c>
      <c r="K45" s="65"/>
      <c r="L45" s="66"/>
      <c r="M45" s="66"/>
      <c r="N45" s="66"/>
      <c r="O45" s="66"/>
      <c r="P45" s="66"/>
      <c r="Q45" s="66"/>
    </row>
    <row r="46" ht="15.15" spans="1:17">
      <c r="A46" s="24" t="s">
        <v>48</v>
      </c>
      <c r="C46" s="29">
        <v>1572134</v>
      </c>
      <c r="D46" s="29">
        <v>1413581</v>
      </c>
      <c r="E46" s="30">
        <v>1158417</v>
      </c>
      <c r="F46" s="24">
        <f>C46-D46</f>
        <v>158553</v>
      </c>
      <c r="G46" s="18">
        <f>F46/D46</f>
        <v>0.112164071248835</v>
      </c>
      <c r="H46" s="24">
        <f>D46-E46</f>
        <v>255164</v>
      </c>
      <c r="I46" s="18">
        <f>H46/E46</f>
        <v>0.22026955750822</v>
      </c>
      <c r="J46" s="78"/>
      <c r="K46" s="68" t="s">
        <v>49</v>
      </c>
      <c r="L46" s="79"/>
      <c r="M46" s="79"/>
      <c r="N46" s="79"/>
      <c r="O46" s="79"/>
      <c r="P46" s="80"/>
      <c r="Q46" s="80"/>
    </row>
    <row r="47" spans="1:17">
      <c r="A47" s="24" t="s">
        <v>50</v>
      </c>
      <c r="C47" s="31">
        <v>601215</v>
      </c>
      <c r="D47" s="31">
        <v>556721</v>
      </c>
      <c r="E47" s="32">
        <v>500702</v>
      </c>
      <c r="F47" s="24">
        <f>C47-D47</f>
        <v>44494</v>
      </c>
      <c r="G47" s="18">
        <f>F47/D47</f>
        <v>0.0799215405921458</v>
      </c>
      <c r="H47" s="24">
        <f>D47-E47</f>
        <v>56019</v>
      </c>
      <c r="I47" s="18">
        <f>H47/E47</f>
        <v>0.111880919189458</v>
      </c>
      <c r="J47" s="78"/>
      <c r="K47" s="81"/>
      <c r="L47" s="82"/>
      <c r="M47" s="82"/>
      <c r="N47" s="82"/>
      <c r="O47" s="82"/>
      <c r="P47" s="83"/>
      <c r="Q47" s="83"/>
    </row>
    <row r="48" spans="1:17">
      <c r="A48" s="33" t="s">
        <v>51</v>
      </c>
      <c r="B48" s="33"/>
      <c r="C48" s="34">
        <f>C46-C47</f>
        <v>970919</v>
      </c>
      <c r="D48" s="34">
        <f>D46-D47</f>
        <v>856860</v>
      </c>
      <c r="E48" s="35">
        <f t="shared" ref="E48" si="10">E46-E47</f>
        <v>657715</v>
      </c>
      <c r="F48" s="24">
        <f>C48-D48</f>
        <v>114059</v>
      </c>
      <c r="G48" s="18">
        <f>F48/D48</f>
        <v>0.133112760544313</v>
      </c>
      <c r="H48" s="24">
        <f>D48-E48</f>
        <v>199145</v>
      </c>
      <c r="I48" s="18">
        <f>H48/E48</f>
        <v>0.302783120348479</v>
      </c>
      <c r="J48" s="78"/>
      <c r="K48" s="81"/>
      <c r="L48" s="82"/>
      <c r="M48" s="82"/>
      <c r="N48" s="82"/>
      <c r="O48" s="82"/>
      <c r="P48" s="83"/>
      <c r="Q48" s="83"/>
    </row>
    <row r="49" spans="3:17">
      <c r="C49" s="29"/>
      <c r="D49" s="29"/>
      <c r="E49" s="30"/>
      <c r="G49" s="18"/>
      <c r="I49" s="18"/>
      <c r="J49" s="78"/>
      <c r="K49" s="81"/>
      <c r="L49" s="82"/>
      <c r="M49" s="82"/>
      <c r="N49" s="82"/>
      <c r="O49" s="82"/>
      <c r="P49" s="83"/>
      <c r="Q49" s="83"/>
    </row>
    <row r="50" spans="1:17">
      <c r="A50" s="33" t="s">
        <v>52</v>
      </c>
      <c r="C50" s="29"/>
      <c r="D50" s="29"/>
      <c r="E50" s="30"/>
      <c r="G50" s="18"/>
      <c r="I50" s="18"/>
      <c r="J50" s="78"/>
      <c r="K50" s="81"/>
      <c r="L50" s="82"/>
      <c r="M50" s="82"/>
      <c r="N50" s="82"/>
      <c r="O50" s="82"/>
      <c r="P50" s="83"/>
      <c r="Q50" s="83"/>
    </row>
    <row r="51" spans="2:17">
      <c r="B51" s="24" t="s">
        <v>53</v>
      </c>
      <c r="C51" s="29">
        <v>555153</v>
      </c>
      <c r="D51" s="29">
        <v>50531</v>
      </c>
      <c r="E51" s="30">
        <v>42150</v>
      </c>
      <c r="F51" s="24">
        <f t="shared" ref="F51:F63" si="11">C51-D51</f>
        <v>504622</v>
      </c>
      <c r="G51" s="18">
        <f t="shared" ref="G51:G63" si="12">F51/D51</f>
        <v>9.98638459559478</v>
      </c>
      <c r="H51" s="24">
        <f t="shared" ref="H51:H63" si="13">D51-E51</f>
        <v>8381</v>
      </c>
      <c r="I51" s="18">
        <f t="shared" ref="I51:I63" si="14">H51/E51</f>
        <v>0.198837485172005</v>
      </c>
      <c r="J51" s="67">
        <v>1</v>
      </c>
      <c r="K51" s="81"/>
      <c r="L51" s="82"/>
      <c r="M51" s="82"/>
      <c r="N51" s="82"/>
      <c r="O51" s="82"/>
      <c r="P51" s="83"/>
      <c r="Q51" s="83"/>
    </row>
    <row r="52" spans="2:17">
      <c r="B52" s="24" t="s">
        <v>54</v>
      </c>
      <c r="C52" s="29">
        <v>21442</v>
      </c>
      <c r="D52" s="29">
        <v>21442</v>
      </c>
      <c r="E52" s="30">
        <v>21442</v>
      </c>
      <c r="F52" s="24">
        <f t="shared" si="11"/>
        <v>0</v>
      </c>
      <c r="G52" s="18">
        <f t="shared" si="12"/>
        <v>0</v>
      </c>
      <c r="H52" s="24">
        <f t="shared" si="13"/>
        <v>0</v>
      </c>
      <c r="I52" s="18">
        <f t="shared" si="14"/>
        <v>0</v>
      </c>
      <c r="J52" s="67"/>
      <c r="K52" s="81"/>
      <c r="L52" s="82"/>
      <c r="M52" s="82"/>
      <c r="N52" s="82"/>
      <c r="O52" s="82"/>
      <c r="P52" s="83"/>
      <c r="Q52" s="83"/>
    </row>
    <row r="53" spans="2:17">
      <c r="B53" s="24" t="s">
        <v>55</v>
      </c>
      <c r="C53" s="29">
        <v>20151</v>
      </c>
      <c r="D53" s="29">
        <v>18934</v>
      </c>
      <c r="E53" s="30">
        <v>17943</v>
      </c>
      <c r="F53" s="24">
        <f t="shared" si="11"/>
        <v>1217</v>
      </c>
      <c r="G53" s="18">
        <f t="shared" si="12"/>
        <v>0.0642759057779656</v>
      </c>
      <c r="H53" s="24">
        <f t="shared" si="13"/>
        <v>991</v>
      </c>
      <c r="I53" s="18">
        <f t="shared" si="14"/>
        <v>0.0552304519868472</v>
      </c>
      <c r="J53" s="67"/>
      <c r="K53" s="81"/>
      <c r="L53" s="82"/>
      <c r="M53" s="82"/>
      <c r="N53" s="82"/>
      <c r="O53" s="82"/>
      <c r="P53" s="83"/>
      <c r="Q53" s="83"/>
    </row>
    <row r="54" spans="2:17">
      <c r="B54" s="24" t="s">
        <v>56</v>
      </c>
      <c r="C54" s="29">
        <v>17261</v>
      </c>
      <c r="D54" s="29">
        <v>10207</v>
      </c>
      <c r="E54" s="30">
        <v>9701</v>
      </c>
      <c r="F54" s="24">
        <f t="shared" si="11"/>
        <v>7054</v>
      </c>
      <c r="G54" s="18">
        <f t="shared" si="12"/>
        <v>0.691094347016753</v>
      </c>
      <c r="H54" s="24">
        <f t="shared" si="13"/>
        <v>506</v>
      </c>
      <c r="I54" s="18">
        <f t="shared" si="14"/>
        <v>0.0521595711782291</v>
      </c>
      <c r="J54" s="67">
        <v>2</v>
      </c>
      <c r="K54" s="81"/>
      <c r="L54" s="82"/>
      <c r="M54" s="82"/>
      <c r="N54" s="82"/>
      <c r="O54" s="82"/>
      <c r="P54" s="83"/>
      <c r="Q54" s="83"/>
    </row>
    <row r="55" spans="2:17">
      <c r="B55" s="24" t="s">
        <v>57</v>
      </c>
      <c r="C55" s="29">
        <v>91014</v>
      </c>
      <c r="D55" s="29">
        <v>31214</v>
      </c>
      <c r="E55" s="30">
        <v>29104</v>
      </c>
      <c r="F55" s="24">
        <f t="shared" si="11"/>
        <v>59800</v>
      </c>
      <c r="G55" s="18">
        <f t="shared" si="12"/>
        <v>1.91580700967515</v>
      </c>
      <c r="H55" s="24">
        <f t="shared" si="13"/>
        <v>2110</v>
      </c>
      <c r="I55" s="18">
        <f t="shared" si="14"/>
        <v>0.0724986256184717</v>
      </c>
      <c r="J55" s="67">
        <v>3</v>
      </c>
      <c r="K55" s="81"/>
      <c r="L55" s="82"/>
      <c r="M55" s="82"/>
      <c r="N55" s="82"/>
      <c r="O55" s="82"/>
      <c r="P55" s="83"/>
      <c r="Q55" s="83"/>
    </row>
    <row r="56" spans="2:17">
      <c r="B56" s="24" t="s">
        <v>58</v>
      </c>
      <c r="C56" s="29">
        <v>148321</v>
      </c>
      <c r="D56" s="29">
        <v>142078</v>
      </c>
      <c r="E56" s="30">
        <v>141143</v>
      </c>
      <c r="F56" s="24">
        <f t="shared" si="11"/>
        <v>6243</v>
      </c>
      <c r="G56" s="18">
        <f t="shared" si="12"/>
        <v>0.043940652317741</v>
      </c>
      <c r="H56" s="24">
        <f t="shared" si="13"/>
        <v>935</v>
      </c>
      <c r="I56" s="18">
        <f t="shared" si="14"/>
        <v>0.00662448722217892</v>
      </c>
      <c r="J56" s="67"/>
      <c r="K56" s="81"/>
      <c r="L56" s="82"/>
      <c r="M56" s="82"/>
      <c r="N56" s="82"/>
      <c r="O56" s="82"/>
      <c r="P56" s="83"/>
      <c r="Q56" s="83"/>
    </row>
    <row r="57" spans="2:17">
      <c r="B57" s="24" t="s">
        <v>59</v>
      </c>
      <c r="C57" s="29">
        <v>14315</v>
      </c>
      <c r="D57" s="29">
        <v>13642</v>
      </c>
      <c r="E57" s="30">
        <v>11932</v>
      </c>
      <c r="F57" s="24">
        <f t="shared" si="11"/>
        <v>673</v>
      </c>
      <c r="G57" s="18">
        <f t="shared" si="12"/>
        <v>0.0493329423838147</v>
      </c>
      <c r="H57" s="24">
        <f t="shared" si="13"/>
        <v>1710</v>
      </c>
      <c r="I57" s="18">
        <f t="shared" si="14"/>
        <v>0.143312101910828</v>
      </c>
      <c r="J57" s="67"/>
      <c r="K57" s="81"/>
      <c r="L57" s="82"/>
      <c r="M57" s="82"/>
      <c r="N57" s="82"/>
      <c r="O57" s="82"/>
      <c r="P57" s="83"/>
      <c r="Q57" s="83"/>
    </row>
    <row r="58" spans="2:17">
      <c r="B58" s="24" t="s">
        <v>60</v>
      </c>
      <c r="C58" s="29">
        <v>47121</v>
      </c>
      <c r="D58" s="29">
        <v>45312</v>
      </c>
      <c r="E58" s="30">
        <v>39142</v>
      </c>
      <c r="F58" s="24">
        <f t="shared" si="11"/>
        <v>1809</v>
      </c>
      <c r="G58" s="18">
        <f t="shared" si="12"/>
        <v>0.0399231991525424</v>
      </c>
      <c r="H58" s="24">
        <f t="shared" si="13"/>
        <v>6170</v>
      </c>
      <c r="I58" s="18">
        <f t="shared" si="14"/>
        <v>0.157631189004139</v>
      </c>
      <c r="J58" s="67">
        <v>4</v>
      </c>
      <c r="K58" s="81"/>
      <c r="L58" s="82"/>
      <c r="M58" s="82"/>
      <c r="N58" s="82"/>
      <c r="O58" s="82"/>
      <c r="P58" s="83"/>
      <c r="Q58" s="83"/>
    </row>
    <row r="59" spans="2:17">
      <c r="B59" s="24" t="s">
        <v>61</v>
      </c>
      <c r="C59" s="31">
        <v>15912</v>
      </c>
      <c r="D59" s="31">
        <v>15643</v>
      </c>
      <c r="E59" s="32">
        <v>14217</v>
      </c>
      <c r="F59" s="24">
        <f t="shared" si="11"/>
        <v>269</v>
      </c>
      <c r="G59" s="18">
        <f t="shared" si="12"/>
        <v>0.0171961899891325</v>
      </c>
      <c r="H59" s="24">
        <f t="shared" si="13"/>
        <v>1426</v>
      </c>
      <c r="I59" s="18">
        <f t="shared" si="14"/>
        <v>0.100302454807625</v>
      </c>
      <c r="J59" s="67"/>
      <c r="K59" s="81"/>
      <c r="L59" s="82"/>
      <c r="M59" s="82"/>
      <c r="N59" s="82"/>
      <c r="O59" s="82"/>
      <c r="P59" s="83"/>
      <c r="Q59" s="83"/>
    </row>
    <row r="60" spans="1:17">
      <c r="A60" s="33" t="s">
        <v>62</v>
      </c>
      <c r="C60" s="36">
        <f>SUM(C51:C59)</f>
        <v>930690</v>
      </c>
      <c r="D60" s="36">
        <f t="shared" ref="D60:E60" si="15">SUM(D51:D59)</f>
        <v>349003</v>
      </c>
      <c r="E60" s="37">
        <f t="shared" si="15"/>
        <v>326774</v>
      </c>
      <c r="F60" s="24">
        <f t="shared" si="11"/>
        <v>581687</v>
      </c>
      <c r="G60" s="18">
        <f t="shared" si="12"/>
        <v>1.66671060134154</v>
      </c>
      <c r="H60" s="24">
        <f t="shared" si="13"/>
        <v>22229</v>
      </c>
      <c r="I60" s="18">
        <f t="shared" si="14"/>
        <v>0.0680256079125022</v>
      </c>
      <c r="J60" s="67">
        <v>5</v>
      </c>
      <c r="K60" s="81"/>
      <c r="L60" s="82"/>
      <c r="M60" s="82"/>
      <c r="N60" s="82"/>
      <c r="O60" s="82"/>
      <c r="P60" s="83"/>
      <c r="Q60" s="83"/>
    </row>
    <row r="61" spans="1:17">
      <c r="A61" s="24" t="s">
        <v>63</v>
      </c>
      <c r="C61" s="38">
        <f>C48-C60</f>
        <v>40229</v>
      </c>
      <c r="D61" s="38">
        <f t="shared" ref="D61:E61" si="16">D48-D60</f>
        <v>507857</v>
      </c>
      <c r="E61" s="30">
        <f t="shared" si="16"/>
        <v>330941</v>
      </c>
      <c r="F61" s="24">
        <f t="shared" si="11"/>
        <v>-467628</v>
      </c>
      <c r="G61" s="18">
        <f t="shared" si="12"/>
        <v>-0.920786756902041</v>
      </c>
      <c r="H61" s="24">
        <f t="shared" si="13"/>
        <v>176916</v>
      </c>
      <c r="I61" s="18">
        <f t="shared" si="14"/>
        <v>0.534584714495937</v>
      </c>
      <c r="J61" s="78"/>
      <c r="K61" s="81"/>
      <c r="L61" s="82"/>
      <c r="M61" s="82"/>
      <c r="N61" s="82"/>
      <c r="O61" s="82"/>
      <c r="P61" s="83"/>
      <c r="Q61" s="83"/>
    </row>
    <row r="62" spans="1:17">
      <c r="A62" s="24" t="s">
        <v>64</v>
      </c>
      <c r="C62" s="31">
        <v>216092</v>
      </c>
      <c r="D62" s="31">
        <v>203143</v>
      </c>
      <c r="E62" s="32">
        <v>132376</v>
      </c>
      <c r="F62" s="24">
        <f t="shared" si="11"/>
        <v>12949</v>
      </c>
      <c r="G62" s="18">
        <f t="shared" si="12"/>
        <v>0.0637432744421417</v>
      </c>
      <c r="H62" s="24">
        <f t="shared" si="13"/>
        <v>70767</v>
      </c>
      <c r="I62" s="18">
        <f t="shared" si="14"/>
        <v>0.534590862391974</v>
      </c>
      <c r="J62" s="78"/>
      <c r="K62" s="81"/>
      <c r="L62" s="82"/>
      <c r="M62" s="82"/>
      <c r="N62" s="82"/>
      <c r="O62" s="82"/>
      <c r="P62" s="83"/>
      <c r="Q62" s="83"/>
    </row>
    <row r="63" spans="1:17">
      <c r="A63" s="33" t="s">
        <v>65</v>
      </c>
      <c r="C63" s="34">
        <f>C61-C62</f>
        <v>-175863</v>
      </c>
      <c r="D63" s="34">
        <f t="shared" ref="D63:E63" si="17">D61-D62</f>
        <v>304714</v>
      </c>
      <c r="E63" s="35">
        <f t="shared" si="17"/>
        <v>198565</v>
      </c>
      <c r="F63" s="24">
        <f t="shared" si="11"/>
        <v>-480577</v>
      </c>
      <c r="G63" s="18">
        <f t="shared" si="12"/>
        <v>-1.57714118813051</v>
      </c>
      <c r="H63" s="24">
        <f t="shared" si="13"/>
        <v>106149</v>
      </c>
      <c r="I63" s="18">
        <f t="shared" si="14"/>
        <v>0.53458061591922</v>
      </c>
      <c r="J63" s="78"/>
      <c r="K63" s="81"/>
      <c r="L63" s="82"/>
      <c r="M63" s="82"/>
      <c r="N63" s="82"/>
      <c r="O63" s="82"/>
      <c r="P63" s="83"/>
      <c r="Q63" s="83"/>
    </row>
    <row r="64" spans="4:15">
      <c r="D64" s="29"/>
      <c r="E64" s="30"/>
      <c r="G64" s="44"/>
      <c r="I64" s="44"/>
      <c r="J64" s="84"/>
      <c r="K64" s="81"/>
      <c r="L64" s="82"/>
      <c r="M64" s="82"/>
      <c r="N64" s="82"/>
      <c r="O64" s="82"/>
    </row>
    <row r="65" spans="1:15">
      <c r="A65" s="24" t="s">
        <v>66</v>
      </c>
      <c r="C65" s="29">
        <v>35913</v>
      </c>
      <c r="D65" s="29">
        <v>26786</v>
      </c>
      <c r="E65" s="30">
        <v>23712</v>
      </c>
      <c r="G65" s="44"/>
      <c r="I65" s="44"/>
      <c r="J65" s="84"/>
      <c r="K65" s="81"/>
      <c r="L65" s="82"/>
      <c r="M65" s="82"/>
      <c r="N65" s="82"/>
      <c r="O65" s="82"/>
    </row>
    <row r="66" spans="10:10">
      <c r="J66" s="33"/>
    </row>
  </sheetData>
  <mergeCells count="18">
    <mergeCell ref="A2:I2"/>
    <mergeCell ref="A3:I3"/>
    <mergeCell ref="A4:I4"/>
    <mergeCell ref="C6:H6"/>
    <mergeCell ref="A40:J40"/>
    <mergeCell ref="A41:J41"/>
    <mergeCell ref="A42:J42"/>
    <mergeCell ref="F43:I43"/>
    <mergeCell ref="F44:G44"/>
    <mergeCell ref="H44:I44"/>
    <mergeCell ref="C43:C44"/>
    <mergeCell ref="D43:D44"/>
    <mergeCell ref="E43:E44"/>
    <mergeCell ref="I6:I7"/>
    <mergeCell ref="J6:P7"/>
    <mergeCell ref="K46:O65"/>
    <mergeCell ref="J8:P35"/>
    <mergeCell ref="K44:Q45"/>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
  <sheetViews>
    <sheetView tabSelected="1" workbookViewId="0">
      <selection activeCell="M45" sqref="M45"/>
    </sheetView>
  </sheetViews>
  <sheetFormatPr defaultColWidth="9" defaultRowHeight="14.4"/>
  <cols>
    <col min="1" max="1" width="34.5555555555556" customWidth="1"/>
    <col min="2" max="2" width="27.8888888888889" customWidth="1"/>
    <col min="3" max="4" width="9" customWidth="1"/>
    <col min="5" max="5" width="9.66666666666667" customWidth="1"/>
    <col min="6" max="6" width="9" customWidth="1"/>
    <col min="12" max="12" width="17.5555555555556" customWidth="1"/>
  </cols>
  <sheetData>
    <row r="1" spans="1:9">
      <c r="A1" s="1" t="s">
        <v>8</v>
      </c>
      <c r="B1" s="1"/>
      <c r="C1" s="1"/>
      <c r="D1" s="1"/>
      <c r="E1" s="1"/>
      <c r="F1" s="1"/>
      <c r="G1" s="1"/>
      <c r="H1" s="1"/>
      <c r="I1" s="1"/>
    </row>
    <row r="2" spans="1:9">
      <c r="A2" s="1" t="s">
        <v>67</v>
      </c>
      <c r="B2" s="1"/>
      <c r="C2" s="1"/>
      <c r="D2" s="1"/>
      <c r="E2" s="1"/>
      <c r="F2" s="1"/>
      <c r="G2" s="1"/>
      <c r="H2" s="1"/>
      <c r="I2" s="1"/>
    </row>
    <row r="3" spans="1:9">
      <c r="A3" s="1" t="s">
        <v>68</v>
      </c>
      <c r="B3" s="1"/>
      <c r="C3" s="1"/>
      <c r="D3" s="1"/>
      <c r="E3" s="1"/>
      <c r="F3" s="1"/>
      <c r="G3" s="1"/>
      <c r="H3" s="1"/>
      <c r="I3" s="1"/>
    </row>
    <row r="4" ht="15.15" spans="1:12">
      <c r="A4" s="2" t="s">
        <v>69</v>
      </c>
      <c r="C4" s="3">
        <v>2018</v>
      </c>
      <c r="D4" s="4">
        <v>2017</v>
      </c>
      <c r="E4" s="4" t="s">
        <v>70</v>
      </c>
      <c r="F4" s="4" t="s">
        <v>15</v>
      </c>
      <c r="G4" s="5" t="s">
        <v>12</v>
      </c>
      <c r="H4" s="6" t="s">
        <v>13</v>
      </c>
      <c r="I4" s="39"/>
      <c r="J4" s="39"/>
      <c r="K4" s="39"/>
      <c r="L4" s="39"/>
    </row>
    <row r="5" ht="15.15" spans="2:12">
      <c r="B5" t="s">
        <v>71</v>
      </c>
      <c r="C5" s="7">
        <f>'Part 1'!C13/'Part 1'!C24</f>
        <v>3.78794468409632</v>
      </c>
      <c r="D5" s="8">
        <f>'Part 1'!E13/'Part 1'!E24</f>
        <v>2.26187825793227</v>
      </c>
      <c r="E5" s="8">
        <f>C5-D5</f>
        <v>1.52606642616405</v>
      </c>
      <c r="F5" s="9">
        <f>E5/D5</f>
        <v>0.674689904645498</v>
      </c>
      <c r="G5" s="10"/>
      <c r="H5" s="11" t="s">
        <v>72</v>
      </c>
      <c r="I5" s="40"/>
      <c r="J5" s="40"/>
      <c r="K5" s="40"/>
      <c r="L5" s="40"/>
    </row>
    <row r="6" spans="2:12">
      <c r="B6" t="s">
        <v>73</v>
      </c>
      <c r="C6" s="12">
        <f>('Part 1'!C13-'Part 1'!C11)/'Part 1'!C24</f>
        <v>2.57156618996012</v>
      </c>
      <c r="D6" s="13">
        <f>('Part 1'!E13-'Part 1'!E11)/'Part 1'!E24</f>
        <v>1.48600710891378</v>
      </c>
      <c r="E6" s="13">
        <f t="shared" ref="E6:E9" si="0">C6-D6</f>
        <v>1.08555908104634</v>
      </c>
      <c r="F6" s="14">
        <f t="shared" ref="F6:F16" si="1">E6/D6</f>
        <v>0.730520785893042</v>
      </c>
      <c r="G6" s="15"/>
      <c r="H6" s="16"/>
      <c r="I6" s="41"/>
      <c r="J6" s="41"/>
      <c r="K6" s="41"/>
      <c r="L6" s="41"/>
    </row>
    <row r="7" spans="2:12">
      <c r="B7" t="s">
        <v>74</v>
      </c>
      <c r="C7" s="12">
        <f>'Part 1'!C46/318893</f>
        <v>4.92997337664985</v>
      </c>
      <c r="D7" s="13">
        <f>'Part 1'!D46/272139</f>
        <v>5.19433451287761</v>
      </c>
      <c r="E7" s="13">
        <f t="shared" si="0"/>
        <v>-0.264361136227762</v>
      </c>
      <c r="F7" s="14">
        <f t="shared" si="1"/>
        <v>-0.0508941300511871</v>
      </c>
      <c r="G7" s="15"/>
      <c r="H7" s="16"/>
      <c r="I7" s="41"/>
      <c r="J7" s="41"/>
      <c r="K7" s="41"/>
      <c r="L7" s="41"/>
    </row>
    <row r="8" spans="2:12">
      <c r="B8" t="s">
        <v>75</v>
      </c>
      <c r="C8" s="12">
        <f>365/C7</f>
        <v>74.036910975782</v>
      </c>
      <c r="D8" s="13">
        <f>365/D7</f>
        <v>70.2688667999924</v>
      </c>
      <c r="E8" s="13">
        <f t="shared" si="0"/>
        <v>3.7680441757896</v>
      </c>
      <c r="F8" s="14">
        <f t="shared" si="1"/>
        <v>0.0536232381050723</v>
      </c>
      <c r="G8" s="15"/>
      <c r="H8" s="16"/>
      <c r="I8" s="41"/>
      <c r="J8" s="41"/>
      <c r="K8" s="41"/>
      <c r="L8" s="41"/>
    </row>
    <row r="9" spans="2:12">
      <c r="B9" t="s">
        <v>76</v>
      </c>
      <c r="C9" s="12">
        <f>('Part 1'!C47/('Part 1'!C11+'Part 1'!E11)/2)</f>
        <v>0.294570282068996</v>
      </c>
      <c r="D9" s="13">
        <f>('Part 1'!D47/('Part 1'!E11+'Part 1'!G11)/2)</f>
        <v>0.341041967346479</v>
      </c>
      <c r="E9" s="13">
        <f t="shared" si="0"/>
        <v>-0.0464716852774827</v>
      </c>
      <c r="F9" s="14">
        <f t="shared" si="1"/>
        <v>-0.136263831806571</v>
      </c>
      <c r="G9" s="15"/>
      <c r="H9" s="16"/>
      <c r="I9" s="41"/>
      <c r="J9" s="41"/>
      <c r="K9" s="41"/>
      <c r="L9" s="41"/>
    </row>
    <row r="10" spans="4:12">
      <c r="D10" s="17"/>
      <c r="E10" s="17"/>
      <c r="F10" s="18"/>
      <c r="G10" s="15"/>
      <c r="H10" s="16"/>
      <c r="I10" s="41"/>
      <c r="J10" s="41"/>
      <c r="K10" s="41"/>
      <c r="L10" s="41"/>
    </row>
    <row r="11" spans="1:12">
      <c r="A11" s="2" t="s">
        <v>77</v>
      </c>
      <c r="D11" s="17"/>
      <c r="E11" s="17"/>
      <c r="F11" s="18"/>
      <c r="G11" s="15"/>
      <c r="H11" s="16"/>
      <c r="I11" s="41"/>
      <c r="J11" s="41"/>
      <c r="K11" s="41"/>
      <c r="L11" s="41"/>
    </row>
    <row r="12" spans="2:12">
      <c r="B12" t="s">
        <v>78</v>
      </c>
      <c r="C12" s="19">
        <f>C47/C30</f>
        <v>0.206176445519275</v>
      </c>
      <c r="D12" s="14">
        <f>D47/D30</f>
        <v>0.215561754154873</v>
      </c>
      <c r="E12" s="14">
        <f>C12-D12</f>
        <v>-0.00938530863559825</v>
      </c>
      <c r="F12" s="14">
        <f>E12/D12</f>
        <v>-0.0435388395886556</v>
      </c>
      <c r="G12" s="20"/>
      <c r="H12" s="16"/>
      <c r="I12" s="41"/>
      <c r="J12" s="41"/>
      <c r="K12" s="41"/>
      <c r="L12" s="41"/>
    </row>
    <row r="13" spans="2:12">
      <c r="B13" t="s">
        <v>79</v>
      </c>
      <c r="C13" s="19">
        <f>'Part 1'!C48/'Part 1'!C46</f>
        <v>0.6175803080399</v>
      </c>
      <c r="D13" s="14">
        <f>'Part 1'!D48/'Part 1'!D46</f>
        <v>0.606162646498503</v>
      </c>
      <c r="E13" s="14">
        <f>C13-D13</f>
        <v>0.0114176615413972</v>
      </c>
      <c r="F13" s="14">
        <f t="shared" si="1"/>
        <v>0.0188359701927384</v>
      </c>
      <c r="G13" s="15"/>
      <c r="H13" s="16"/>
      <c r="I13" s="41"/>
      <c r="J13" s="41"/>
      <c r="K13" s="41"/>
      <c r="L13" s="41"/>
    </row>
    <row r="14" spans="2:12">
      <c r="B14" t="s">
        <v>80</v>
      </c>
      <c r="C14" s="12">
        <f>C47/C49</f>
        <v>9.02561746442792</v>
      </c>
      <c r="D14" s="13">
        <f>'Part 1'!D63/'Part 1'!D65</f>
        <v>11.3758679907414</v>
      </c>
      <c r="E14" s="21">
        <f>C14-D14</f>
        <v>-2.35025052631351</v>
      </c>
      <c r="F14" s="14">
        <f t="shared" si="1"/>
        <v>-0.206599665909127</v>
      </c>
      <c r="G14" s="15"/>
      <c r="H14" s="16"/>
      <c r="I14" s="41"/>
      <c r="J14" s="41"/>
      <c r="K14" s="41"/>
      <c r="L14" s="41"/>
    </row>
    <row r="15" spans="2:12">
      <c r="B15" t="s">
        <v>81</v>
      </c>
      <c r="C15" s="12">
        <f>'Part 1'!C46/'Part 1'!C16</f>
        <v>0.730802610397803</v>
      </c>
      <c r="D15" s="13">
        <f>'Part 1'!D46/'Part 1'!E16</f>
        <v>0.702631274172536</v>
      </c>
      <c r="E15" s="21">
        <f>C15-D15</f>
        <v>0.0281713362252669</v>
      </c>
      <c r="F15" s="14">
        <f t="shared" si="1"/>
        <v>0.0400940539665606</v>
      </c>
      <c r="G15" s="15"/>
      <c r="H15" s="16"/>
      <c r="I15" s="41"/>
      <c r="J15" s="41"/>
      <c r="K15" s="41"/>
      <c r="L15" s="41"/>
    </row>
    <row r="16" spans="2:12">
      <c r="B16" t="s">
        <v>82</v>
      </c>
      <c r="C16" s="12">
        <f>'Part 1'!C46/('Part 1'!C13-'Part 1'!C24)</f>
        <v>1.33143571924006</v>
      </c>
      <c r="D16" s="13">
        <f>'Part 1'!D46/('Part 1'!E13-'Part 1'!E24)</f>
        <v>1.71998831910739</v>
      </c>
      <c r="E16" s="21">
        <f>C16-D16</f>
        <v>-0.388552599867323</v>
      </c>
      <c r="F16" s="14">
        <f t="shared" si="1"/>
        <v>-0.225904208505886</v>
      </c>
      <c r="G16" s="15"/>
      <c r="H16" s="16"/>
      <c r="I16" s="41"/>
      <c r="J16" s="41"/>
      <c r="K16" s="41"/>
      <c r="L16" s="41"/>
    </row>
    <row r="17" spans="4:12">
      <c r="D17" s="17"/>
      <c r="E17" s="17"/>
      <c r="F17" s="18"/>
      <c r="G17" s="15"/>
      <c r="H17" s="16"/>
      <c r="I17" s="41"/>
      <c r="J17" s="41"/>
      <c r="K17" s="41"/>
      <c r="L17" s="41"/>
    </row>
    <row r="18" spans="1:12">
      <c r="A18" s="2" t="s">
        <v>83</v>
      </c>
      <c r="D18" s="17"/>
      <c r="E18" s="17"/>
      <c r="F18" s="18"/>
      <c r="G18" s="15"/>
      <c r="H18" s="16"/>
      <c r="I18" s="41"/>
      <c r="J18" s="41"/>
      <c r="K18" s="41"/>
      <c r="L18" s="41"/>
    </row>
    <row r="19" spans="2:12">
      <c r="B19" t="s">
        <v>84</v>
      </c>
      <c r="C19" s="12">
        <f>'Part 1'!C33/'Part 1'!C16</f>
        <v>0.605417890958855</v>
      </c>
      <c r="D19" s="13">
        <f>'Part 1'!E33/'Part 1'!E16</f>
        <v>0.477291174890237</v>
      </c>
      <c r="E19" s="21">
        <f>C19-D19</f>
        <v>0.128126716068618</v>
      </c>
      <c r="F19" s="18">
        <f>E19/D19</f>
        <v>0.268445600524843</v>
      </c>
      <c r="G19" s="20">
        <v>1</v>
      </c>
      <c r="H19" s="16"/>
      <c r="I19" s="41"/>
      <c r="J19" s="41"/>
      <c r="K19" s="41"/>
      <c r="L19" s="41"/>
    </row>
    <row r="20" spans="2:12">
      <c r="B20" t="s">
        <v>85</v>
      </c>
      <c r="C20" s="12">
        <f>'Part 1'!C24/'Part 1'!C33</f>
        <v>0.325192471443127</v>
      </c>
      <c r="D20" s="13">
        <f>'Part 1'!E24/'Part 1'!E33</f>
        <v>0.678267670450818</v>
      </c>
      <c r="E20" s="21">
        <f>C20-D20</f>
        <v>-0.353075199007691</v>
      </c>
      <c r="F20" s="18">
        <f t="shared" ref="F20:F21" si="2">E20/D20</f>
        <v>-0.520554368709651</v>
      </c>
      <c r="G20" s="20">
        <v>2</v>
      </c>
      <c r="H20" s="16"/>
      <c r="I20" s="41"/>
      <c r="J20" s="41"/>
      <c r="K20" s="41"/>
      <c r="L20" s="41"/>
    </row>
    <row r="21" spans="2:12">
      <c r="B21" t="s">
        <v>86</v>
      </c>
      <c r="C21" s="12">
        <f>'Part 1'!C27/'Part 1'!C33</f>
        <v>0.651751649453586</v>
      </c>
      <c r="D21" s="13">
        <f>'Part 1'!E27/'Part 1'!E33</f>
        <v>1.09515711290905</v>
      </c>
      <c r="E21" s="21">
        <f>C21-D21</f>
        <v>-0.443405463455468</v>
      </c>
      <c r="F21" s="18">
        <f t="shared" si="2"/>
        <v>-0.404878403499252</v>
      </c>
      <c r="G21" s="20">
        <v>3</v>
      </c>
      <c r="H21" s="16"/>
      <c r="I21" s="41"/>
      <c r="J21" s="41"/>
      <c r="K21" s="41"/>
      <c r="L21" s="41"/>
    </row>
    <row r="22" spans="4:12">
      <c r="D22" s="17"/>
      <c r="E22" s="17"/>
      <c r="F22" s="17"/>
      <c r="G22" s="15"/>
      <c r="H22" s="16"/>
      <c r="I22" s="41"/>
      <c r="J22" s="41"/>
      <c r="K22" s="41"/>
      <c r="L22" s="41"/>
    </row>
    <row r="23" spans="4:12">
      <c r="D23" s="22"/>
      <c r="E23" s="22"/>
      <c r="F23" s="22"/>
      <c r="G23" s="22"/>
      <c r="H23" s="23"/>
      <c r="I23" s="41"/>
      <c r="J23" s="41"/>
      <c r="K23" s="41"/>
      <c r="L23" s="41"/>
    </row>
    <row r="24" spans="1:12">
      <c r="A24" s="1" t="s">
        <v>8</v>
      </c>
      <c r="B24" s="1"/>
      <c r="C24" s="1"/>
      <c r="D24" s="1"/>
      <c r="E24" s="1"/>
      <c r="F24" s="1"/>
      <c r="G24" s="1"/>
      <c r="H24" s="1"/>
      <c r="I24" s="1"/>
      <c r="J24" s="1"/>
      <c r="K24" s="41"/>
      <c r="L24" s="41"/>
    </row>
    <row r="25" spans="1:12">
      <c r="A25" s="1" t="s">
        <v>44</v>
      </c>
      <c r="B25" s="1"/>
      <c r="C25" s="1"/>
      <c r="D25" s="1"/>
      <c r="E25" s="1"/>
      <c r="F25" s="1"/>
      <c r="G25" s="1"/>
      <c r="H25" s="1"/>
      <c r="I25" s="1"/>
      <c r="J25" s="1"/>
      <c r="K25" s="41"/>
      <c r="L25" s="41"/>
    </row>
    <row r="26" spans="1:12">
      <c r="A26" s="1" t="s">
        <v>45</v>
      </c>
      <c r="B26" s="1"/>
      <c r="C26" s="1"/>
      <c r="D26" s="1"/>
      <c r="E26" s="1"/>
      <c r="F26" s="1"/>
      <c r="G26" s="1"/>
      <c r="H26" s="1"/>
      <c r="I26" s="1"/>
      <c r="J26" s="1"/>
      <c r="K26" s="41"/>
      <c r="L26" s="41"/>
    </row>
    <row r="27" spans="1:5">
      <c r="A27" s="24"/>
      <c r="B27" s="24"/>
      <c r="C27" s="25">
        <v>2018</v>
      </c>
      <c r="D27" s="25">
        <v>2017</v>
      </c>
      <c r="E27" s="26">
        <v>2016</v>
      </c>
    </row>
    <row r="28" spans="1:5">
      <c r="A28" s="24"/>
      <c r="B28" s="24"/>
      <c r="C28" s="25"/>
      <c r="D28" s="25"/>
      <c r="E28" s="26"/>
    </row>
    <row r="29" ht="15.15" spans="1:5">
      <c r="A29" s="24"/>
      <c r="B29" s="24"/>
      <c r="C29" s="27" t="s">
        <v>18</v>
      </c>
      <c r="D29" s="27" t="s">
        <v>18</v>
      </c>
      <c r="E29" s="28" t="s">
        <v>18</v>
      </c>
    </row>
    <row r="30" ht="15.15" spans="1:5">
      <c r="A30" s="24" t="s">
        <v>48</v>
      </c>
      <c r="B30" s="24"/>
      <c r="C30" s="29">
        <v>1572134</v>
      </c>
      <c r="D30" s="29">
        <v>1413581</v>
      </c>
      <c r="E30" s="30">
        <v>1158417</v>
      </c>
    </row>
    <row r="31" spans="1:5">
      <c r="A31" s="24" t="s">
        <v>50</v>
      </c>
      <c r="B31" s="24"/>
      <c r="C31" s="31">
        <v>601215</v>
      </c>
      <c r="D31" s="31">
        <v>556721</v>
      </c>
      <c r="E31" s="32">
        <v>500702</v>
      </c>
    </row>
    <row r="32" spans="1:5">
      <c r="A32" s="33" t="s">
        <v>51</v>
      </c>
      <c r="B32" s="33"/>
      <c r="C32" s="34">
        <f>C30-C31</f>
        <v>970919</v>
      </c>
      <c r="D32" s="34">
        <f>D30-D31</f>
        <v>856860</v>
      </c>
      <c r="E32" s="35">
        <f t="shared" ref="E32" si="3">E30-E31</f>
        <v>657715</v>
      </c>
    </row>
    <row r="33" spans="1:5">
      <c r="A33" s="24"/>
      <c r="B33" s="24"/>
      <c r="C33" s="29"/>
      <c r="D33" s="29"/>
      <c r="E33" s="30"/>
    </row>
    <row r="34" spans="1:5">
      <c r="A34" s="33" t="s">
        <v>52</v>
      </c>
      <c r="B34" s="24"/>
      <c r="C34" s="29"/>
      <c r="D34" s="29"/>
      <c r="E34" s="30"/>
    </row>
    <row r="35" spans="1:5">
      <c r="A35" s="24"/>
      <c r="B35" s="24" t="s">
        <v>53</v>
      </c>
      <c r="C35" s="29">
        <v>55153</v>
      </c>
      <c r="D35" s="29">
        <v>50531</v>
      </c>
      <c r="E35" s="30">
        <v>42150</v>
      </c>
    </row>
    <row r="36" spans="1:5">
      <c r="A36" s="24"/>
      <c r="B36" s="24" t="s">
        <v>54</v>
      </c>
      <c r="C36" s="29">
        <v>21442</v>
      </c>
      <c r="D36" s="29">
        <v>21442</v>
      </c>
      <c r="E36" s="30">
        <v>21442</v>
      </c>
    </row>
    <row r="37" spans="1:5">
      <c r="A37" s="24"/>
      <c r="B37" s="24" t="s">
        <v>55</v>
      </c>
      <c r="C37" s="29">
        <v>20151</v>
      </c>
      <c r="D37" s="29">
        <v>18934</v>
      </c>
      <c r="E37" s="30">
        <v>17943</v>
      </c>
    </row>
    <row r="38" spans="1:5">
      <c r="A38" s="24"/>
      <c r="B38" s="24" t="s">
        <v>56</v>
      </c>
      <c r="C38" s="29">
        <v>17261</v>
      </c>
      <c r="D38" s="29">
        <v>10207</v>
      </c>
      <c r="E38" s="30">
        <v>9701</v>
      </c>
    </row>
    <row r="39" spans="1:5">
      <c r="A39" s="24"/>
      <c r="B39" s="24" t="s">
        <v>57</v>
      </c>
      <c r="C39" s="29">
        <v>91014</v>
      </c>
      <c r="D39" s="29">
        <v>31214</v>
      </c>
      <c r="E39" s="30">
        <v>29104</v>
      </c>
    </row>
    <row r="40" spans="1:5">
      <c r="A40" s="24"/>
      <c r="B40" s="24" t="s">
        <v>58</v>
      </c>
      <c r="C40" s="29">
        <v>148321</v>
      </c>
      <c r="D40" s="29">
        <v>142078</v>
      </c>
      <c r="E40" s="30">
        <v>141143</v>
      </c>
    </row>
    <row r="41" spans="1:5">
      <c r="A41" s="24"/>
      <c r="B41" s="24" t="s">
        <v>59</v>
      </c>
      <c r="C41" s="29">
        <v>14315</v>
      </c>
      <c r="D41" s="29">
        <v>13642</v>
      </c>
      <c r="E41" s="30">
        <v>11932</v>
      </c>
    </row>
    <row r="42" spans="1:5">
      <c r="A42" s="24"/>
      <c r="B42" s="24" t="s">
        <v>60</v>
      </c>
      <c r="C42" s="29">
        <v>47121</v>
      </c>
      <c r="D42" s="29">
        <v>45312</v>
      </c>
      <c r="E42" s="30">
        <v>39142</v>
      </c>
    </row>
    <row r="43" spans="1:5">
      <c r="A43" s="24"/>
      <c r="B43" s="24" t="s">
        <v>61</v>
      </c>
      <c r="C43" s="31">
        <v>15912</v>
      </c>
      <c r="D43" s="31">
        <v>15643</v>
      </c>
      <c r="E43" s="32">
        <v>14217</v>
      </c>
    </row>
    <row r="44" spans="1:5">
      <c r="A44" s="33" t="s">
        <v>62</v>
      </c>
      <c r="B44" s="24"/>
      <c r="C44" s="36">
        <f>SUM(C35:C43)</f>
        <v>430690</v>
      </c>
      <c r="D44" s="36">
        <f t="shared" ref="D44:E44" si="4">SUM(D35:D43)</f>
        <v>349003</v>
      </c>
      <c r="E44" s="37">
        <f t="shared" si="4"/>
        <v>326774</v>
      </c>
    </row>
    <row r="45" spans="1:5">
      <c r="A45" s="24" t="s">
        <v>63</v>
      </c>
      <c r="B45" s="24"/>
      <c r="C45" s="38">
        <f>C32-C44</f>
        <v>540229</v>
      </c>
      <c r="D45" s="38">
        <f t="shared" ref="D45:E45" si="5">D32-D44</f>
        <v>507857</v>
      </c>
      <c r="E45" s="30">
        <f t="shared" si="5"/>
        <v>330941</v>
      </c>
    </row>
    <row r="46" spans="1:5">
      <c r="A46" s="24" t="s">
        <v>64</v>
      </c>
      <c r="B46" s="24"/>
      <c r="C46" s="31">
        <v>216092</v>
      </c>
      <c r="D46" s="31">
        <v>203143</v>
      </c>
      <c r="E46" s="32">
        <v>132376</v>
      </c>
    </row>
    <row r="47" spans="1:5">
      <c r="A47" s="33" t="s">
        <v>65</v>
      </c>
      <c r="B47" s="24"/>
      <c r="C47" s="34">
        <f>C45-C46</f>
        <v>324137</v>
      </c>
      <c r="D47" s="34">
        <f t="shared" ref="D47:E47" si="6">D45-D46</f>
        <v>304714</v>
      </c>
      <c r="E47" s="35">
        <f t="shared" si="6"/>
        <v>198565</v>
      </c>
    </row>
    <row r="48" spans="1:5">
      <c r="A48" s="24"/>
      <c r="B48" s="24"/>
      <c r="C48" s="24"/>
      <c r="D48" s="29"/>
      <c r="E48" s="30"/>
    </row>
    <row r="49" spans="1:5">
      <c r="A49" s="24" t="s">
        <v>66</v>
      </c>
      <c r="B49" s="24"/>
      <c r="C49" s="29">
        <v>35913</v>
      </c>
      <c r="D49" s="29">
        <v>26786</v>
      </c>
      <c r="E49" s="30">
        <v>23712</v>
      </c>
    </row>
  </sheetData>
  <mergeCells count="11">
    <mergeCell ref="A1:I1"/>
    <mergeCell ref="A2:I2"/>
    <mergeCell ref="A3:I3"/>
    <mergeCell ref="H4:L4"/>
    <mergeCell ref="A24:J24"/>
    <mergeCell ref="A25:J25"/>
    <mergeCell ref="A26:J26"/>
    <mergeCell ref="C27:C28"/>
    <mergeCell ref="D27:D28"/>
    <mergeCell ref="E27:E28"/>
    <mergeCell ref="H5:L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Cover Page</vt:lpstr>
      <vt:lpstr>Part 1</vt:lpstr>
      <vt:lpstr>Part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Beatrice Arthur</dc:creator>
  <cp:lastModifiedBy>Stephen</cp:lastModifiedBy>
  <dcterms:created xsi:type="dcterms:W3CDTF">2024-03-13T02:53:00Z</dcterms:created>
  <dcterms:modified xsi:type="dcterms:W3CDTF">2026-01-06T04:40:39Z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E2712E6A596542419A90A59AB2021968_12</vt:lpwstr>
  </property>
  <property fmtid="{D5CDD505-2E9C-101B-9397-08002B2CF9AE}" pid="3" name="KSOProductBuildVer">
    <vt:lpwstr>2057-12.2.0.23196</vt:lpwstr>
  </property>
</Properties>
</file>